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sahan\Downloads\"/>
    </mc:Choice>
  </mc:AlternateContent>
  <xr:revisionPtr revIDLastSave="0" documentId="8_{7511B529-A0C3-4F77-A20D-CFC6B0F90FFB}" xr6:coauthVersionLast="47" xr6:coauthVersionMax="47" xr10:uidLastSave="{00000000-0000-0000-0000-000000000000}"/>
  <bookViews>
    <workbookView xWindow="-108" yWindow="-108" windowWidth="23256" windowHeight="12456" activeTab="1" xr2:uid="{C0893FBD-34B3-420E-B0D6-EC330180DDEA}"/>
  </bookViews>
  <sheets>
    <sheet name="Pivot Tables" sheetId="4" r:id="rId1"/>
    <sheet name="Dashboard" sheetId="5" r:id="rId2"/>
    <sheet name="SalesData" sheetId="3" r:id="rId3"/>
  </sheets>
  <definedNames>
    <definedName name="Slicer_Product">#N/A</definedName>
    <definedName name="Slicer_Region">#N/A</definedName>
    <definedName name="Slicer_Sales_Person">#N/A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 i="3" l="1"/>
  <c r="G16" i="3"/>
  <c r="K4" i="3"/>
  <c r="K2" i="3"/>
  <c r="I3" i="3"/>
  <c r="I4" i="3"/>
  <c r="I5" i="3"/>
  <c r="I6" i="3"/>
  <c r="I7" i="3"/>
  <c r="I8" i="3"/>
  <c r="I9" i="3"/>
  <c r="I10" i="3"/>
  <c r="I11" i="3"/>
  <c r="I12" i="3"/>
  <c r="I13" i="3"/>
  <c r="I14" i="3"/>
  <c r="I15"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2" i="3"/>
  <c r="H51" i="3"/>
  <c r="G51" i="3"/>
  <c r="F51" i="3"/>
  <c r="H50" i="3"/>
  <c r="G50" i="3"/>
  <c r="F50" i="3"/>
  <c r="H49" i="3"/>
  <c r="G49" i="3"/>
  <c r="F49" i="3"/>
  <c r="H48" i="3"/>
  <c r="G48" i="3"/>
  <c r="F48" i="3"/>
  <c r="H47" i="3"/>
  <c r="G47" i="3"/>
  <c r="F47" i="3"/>
  <c r="H46" i="3"/>
  <c r="G46" i="3"/>
  <c r="F46" i="3"/>
  <c r="H45" i="3"/>
  <c r="G45" i="3"/>
  <c r="F45" i="3"/>
  <c r="H44" i="3"/>
  <c r="G44" i="3"/>
  <c r="F44" i="3"/>
  <c r="H43" i="3"/>
  <c r="G43" i="3"/>
  <c r="F43" i="3"/>
  <c r="H42" i="3"/>
  <c r="G42" i="3"/>
  <c r="F42" i="3"/>
  <c r="H41" i="3"/>
  <c r="G41" i="3"/>
  <c r="F41" i="3"/>
  <c r="H40" i="3"/>
  <c r="G40" i="3"/>
  <c r="F40" i="3"/>
  <c r="H39" i="3"/>
  <c r="G39" i="3"/>
  <c r="F39" i="3"/>
  <c r="H38" i="3"/>
  <c r="G38" i="3"/>
  <c r="F38" i="3"/>
  <c r="H37" i="3"/>
  <c r="G37" i="3"/>
  <c r="F37" i="3"/>
  <c r="H36" i="3"/>
  <c r="G36" i="3"/>
  <c r="F36" i="3"/>
  <c r="H35" i="3"/>
  <c r="G35" i="3"/>
  <c r="F35" i="3"/>
  <c r="H34" i="3"/>
  <c r="G34" i="3"/>
  <c r="F34" i="3"/>
  <c r="H33" i="3"/>
  <c r="G33" i="3"/>
  <c r="F33" i="3"/>
  <c r="H32" i="3"/>
  <c r="G32" i="3"/>
  <c r="F32" i="3"/>
  <c r="H31" i="3"/>
  <c r="G31" i="3"/>
  <c r="F31" i="3"/>
  <c r="H30" i="3"/>
  <c r="G30" i="3"/>
  <c r="F30" i="3"/>
  <c r="H29" i="3"/>
  <c r="G29" i="3"/>
  <c r="F29" i="3"/>
  <c r="H28" i="3"/>
  <c r="G28" i="3"/>
  <c r="F28" i="3"/>
  <c r="H27" i="3"/>
  <c r="G27" i="3"/>
  <c r="F27" i="3"/>
  <c r="H26" i="3"/>
  <c r="G26" i="3"/>
  <c r="F26" i="3"/>
  <c r="H25" i="3"/>
  <c r="G25" i="3"/>
  <c r="F25" i="3"/>
  <c r="H24" i="3"/>
  <c r="G24" i="3"/>
  <c r="F24" i="3"/>
  <c r="H23" i="3"/>
  <c r="G23" i="3"/>
  <c r="F23" i="3"/>
  <c r="H22" i="3"/>
  <c r="G22" i="3"/>
  <c r="F22" i="3"/>
  <c r="H21" i="3"/>
  <c r="G21" i="3"/>
  <c r="F21" i="3"/>
  <c r="H20" i="3"/>
  <c r="G20" i="3"/>
  <c r="F20" i="3"/>
  <c r="H19" i="3"/>
  <c r="G19" i="3"/>
  <c r="F19" i="3"/>
  <c r="H18" i="3"/>
  <c r="G18" i="3"/>
  <c r="F18" i="3"/>
  <c r="H17" i="3"/>
  <c r="G17" i="3"/>
  <c r="F17" i="3"/>
  <c r="H16" i="3"/>
  <c r="F16" i="3"/>
  <c r="H15" i="3"/>
  <c r="G15" i="3"/>
  <c r="F15" i="3"/>
  <c r="H14" i="3"/>
  <c r="G14" i="3"/>
  <c r="F14" i="3"/>
  <c r="H13" i="3"/>
  <c r="G13" i="3"/>
  <c r="F13" i="3"/>
  <c r="H12" i="3"/>
  <c r="G12" i="3"/>
  <c r="F12" i="3"/>
  <c r="H11" i="3"/>
  <c r="G11" i="3"/>
  <c r="F11" i="3"/>
  <c r="H10" i="3"/>
  <c r="G10" i="3"/>
  <c r="F10" i="3"/>
  <c r="H9" i="3"/>
  <c r="G9" i="3"/>
  <c r="F9" i="3"/>
  <c r="H8" i="3"/>
  <c r="G8" i="3"/>
  <c r="F8" i="3"/>
  <c r="H7" i="3"/>
  <c r="G7" i="3"/>
  <c r="F7" i="3"/>
  <c r="H6" i="3"/>
  <c r="G6" i="3"/>
  <c r="F6" i="3"/>
  <c r="H5" i="3"/>
  <c r="G5" i="3"/>
  <c r="F5" i="3"/>
  <c r="H4" i="3"/>
  <c r="G4" i="3"/>
  <c r="F4" i="3"/>
  <c r="H3" i="3"/>
  <c r="G3" i="3"/>
  <c r="F3" i="3"/>
  <c r="H2" i="3"/>
  <c r="G2" i="3"/>
  <c r="F2" i="3"/>
  <c r="I16" i="3" l="1"/>
  <c r="K6" i="3"/>
</calcChain>
</file>

<file path=xl/sharedStrings.xml><?xml version="1.0" encoding="utf-8"?>
<sst xmlns="http://schemas.openxmlformats.org/spreadsheetml/2006/main" count="203" uniqueCount="37">
  <si>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</si>
  <si>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</si>
  <si>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</si>
  <si>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</si>
  <si>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</si>
  <si>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</si>
  <si>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</si>
  <si>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</si>
  <si>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</si>
  <si>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</si>
  <si>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</si>
  <si>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</si>
  <si>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</si>
  <si>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</si>
  <si>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</si>
  <si>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</si>
  <si>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</si>
  <si>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</si>
  <si>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</si>
  <si>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</si>
  <si>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</si>
  <si>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</si>
  <si>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</si>
  <si>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</si>
  <si>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</si>
  <si>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</si>
  <si>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</si>
  <si>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</si>
  <si>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</si>
  <si>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</si>
  <si>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Grand Total</t>
  </si>
  <si>
    <t xml:space="preserve">         Unit Sold</t>
  </si>
  <si>
    <t xml:space="preserve">       Total Profit</t>
  </si>
  <si>
    <t xml:space="preserve">  Average Sales</t>
  </si>
  <si>
    <t>Row Labels</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</si>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</sst>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_ &quot;Rs.&quot;\ * #,##0_ ;_ &quot;Rs.&quot;\ * \-#,##0_ ;_ &quot;Rs.&quot;\ * &quot;-&quot;_ ;_ @_ "/>
    <numFmt numFmtId="165" formatCode="_ * #,##0_ ;_ * \-#,##0_ ;_ * &quot;-&quot;??_ ;_ @_ "/>
  </numFmts>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0">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164" fontId="0" fillId="0" borderId="0" xfId="0" applyNumberFormat="1"/>
    <xf numFmtId="0" fontId="2" fillId="2" borderId="0" xfId="0" applyFont="1" applyFill="1"/>
    <xf numFmtId="0" fontId="2" fillId="2" borderId="0" xfId="0" applyFont="1" applyFill="1" applyAlignment="1">
      <alignment vertical="center"/>
    </xf>
    <xf numFmtId="0" fontId="0" fillId="0" borderId="0" xfId="0" pivotButton="1"/>
    <xf numFmtId="165" fontId="0" fillId="0" borderId="0" xfId="2" applyNumberFormat="1" applyFont="1"/>
  </cellXfs>
  <cellStyles count="3">
    <cellStyle name="Comma" xfId="2" builtinId="3"/>
    <cellStyle name="Currency [0]" xfId="1" builtinId="7"/>
    <cellStyle name="Normal" xfId="0" builtinId="0"/>
  </cellStyles>
  <dxfs count="12">
    <dxf>
      <numFmt numFmtId="164" formatCode="_ &quot;Rs.&quot;\ * #,##0_ ;_ &quot;Rs.&quot;\ * \-#,##0_ ;_ &quot;Rs.&quot;\ * &quot;-&quot;_ ;_ @_ "/>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border outline="0">
        <bottom style="thick">
          <color rgb="FFFFC000"/>
        </bottom>
      </border>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
      <font>
        <b/>
        <i val="0"/>
        <color theme="1"/>
      </font>
    </dxf>
    <dxf>
      <border>
        <left style="thin">
          <color auto="1"/>
        </left>
        <right style="thin">
          <color auto="1"/>
        </right>
        <top style="thin">
          <color auto="1"/>
        </top>
        <bottom style="thin">
          <color auto="1"/>
        </bottom>
      </border>
    </dxf>
    <dxf>
      <fill>
        <patternFill>
          <bgColor theme="9" tint="-0.499984740745262"/>
        </patternFill>
      </fill>
    </dxf>
  </dxfs>
  <tableStyles count="7" defaultTableStyle="TableStyleMedium2" defaultPivotStyle="PivotStyleLight16">
    <tableStyle name="Invisible" pivot="0" table="0" count="0" xr9:uid="{BDFCBA0C-0FAD-47E9-B8E0-311E6D449765}"/>
    <tableStyle name="Slicer Style 1" pivot="0" table="0" count="1" xr9:uid="{84217C91-FAD4-435B-A4CD-86B38F07932D}">
      <tableStyleElement type="wholeTable" dxfId="11"/>
    </tableStyle>
    <tableStyle name="Slicer Style 2" pivot="0" table="0" count="2" xr9:uid="{14173730-6CCB-4EF1-B9DF-6640D991305B}"/>
    <tableStyle name="Slicer Style 3" pivot="0" table="0" count="1" xr9:uid="{071CB896-FE1F-4B02-AF22-A321E9B8C6C8}"/>
    <tableStyle name="Slicer Style 4" pivot="0" table="0" count="1" xr9:uid="{C914C817-84BC-4A99-AD19-005BE9C00428}"/>
    <tableStyle name="Slicer Style 5" pivot="0" table="0" count="2" xr9:uid="{1FA75711-696C-4599-B9EE-E18053F01031}"/>
    <tableStyle name="Slicer Style 6" pivot="0" table="0" count="4" xr9:uid="{E3468DA9-05F8-44AA-96FE-6C87AB09391E}">
      <tableStyleElement type="wholeTable" dxfId="10"/>
      <tableStyleElement type="headerRow" dxfId="9"/>
    </tableStyle>
  </tableStyles>
  <extLst>
    <ext xmlns:x14="http://schemas.microsoft.com/office/spreadsheetml/2009/9/main" uri="{46F421CA-312F-682f-3DD2-61675219B42D}">
      <x14:dxfs count="8">
        <dxf>
          <border>
            <top style="thin">
              <color theme="9" tint="-0.499984740745262"/>
            </top>
          </border>
        </dxf>
        <dxf>
          <font>
            <color theme="0"/>
          </font>
          <fill>
            <patternFill>
              <bgColor theme="9" tint="-0.499984740745262"/>
            </patternFill>
          </fill>
          <border>
            <left style="thin">
              <color auto="1"/>
            </left>
            <right style="thin">
              <color auto="1"/>
            </right>
            <top style="thin">
              <color auto="1"/>
            </top>
            <bottom style="thin">
              <color auto="1"/>
            </bottom>
          </border>
        </dxf>
        <dxf>
          <font>
            <color theme="0"/>
          </font>
          <fill>
            <patternFill>
              <fgColor theme="9" tint="-0.499984740745262"/>
              <bgColor theme="9" tint="-0.499984740745262"/>
            </patternFill>
          </fill>
          <border>
            <left style="thin">
              <color auto="1"/>
            </left>
            <right style="thin">
              <color auto="1"/>
            </right>
            <top style="thin">
              <color auto="1"/>
            </top>
            <bottom style="thin">
              <color auto="1"/>
            </bottom>
          </border>
        </dxf>
        <dxf>
          <font>
            <b/>
            <i val="0"/>
          </font>
          <border>
            <top style="thin">
              <color auto="1"/>
            </top>
          </border>
        </dxf>
        <dxf>
          <font>
            <color theme="0"/>
          </font>
          <fill>
            <patternFill>
              <bgColor theme="9" tint="-0.499984740745262"/>
            </patternFill>
          </fill>
          <border>
            <left style="thin">
              <color auto="1"/>
            </left>
            <right style="thin">
              <color auto="1"/>
            </right>
            <top style="thin">
              <color auto="1"/>
            </top>
            <bottom style="thin">
              <color auto="1"/>
            </bottom>
          </border>
        </dxf>
        <dxf>
          <font>
            <color theme="0"/>
          </font>
          <fill>
            <patternFill>
              <bgColor theme="9" tint="-0.499984740745262"/>
            </patternFill>
          </fill>
        </dxf>
        <dxf>
          <fill>
            <patternFill>
              <bgColor theme="9" tint="-0.499984740745262"/>
            </patternFill>
          </fill>
        </dxf>
        <dxf>
          <fill>
            <patternFill>
              <bgColor theme="9"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7"/>
            <x14:slicerStyleElement type="hoveredSelectedItemWithData" dxfId="6"/>
          </x14:slicerStyleElements>
        </x14:slicerStyle>
        <x14:slicerStyle name="Slicer Style 3">
          <x14:slicerStyleElements>
            <x14:slicerStyleElement type="selectedItemWithData" dxfId="5"/>
          </x14:slicerStyleElements>
        </x14:slicerStyle>
        <x14:slicerStyle name="Slicer Style 4">
          <x14:slicerStyleElements>
            <x14:slicerStyleElement type="selectedItemWithData" dxfId="4"/>
          </x14:slicerStyleElements>
        </x14:slicerStyle>
        <x14:slicerStyle name="Slicer Style 5">
          <x14:slicerStyleElements>
            <x14:slicerStyleElement type="unselectedItemWithData" dxfId="3"/>
            <x14:slicerStyleElement type="selectedItemWithData" dxfId="2"/>
          </x14:slicerStyleElements>
        </x14:slicerStyle>
        <x14:slicerStyle name="Slicer Style 6">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Project(Sales Dashboard).xlsx]Pivot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44444444444444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8888888888889"/>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6388888888888889"/>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5F62-42AA-B19E-139B1F8CE4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F62-42AA-B19E-139B1F8CE4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62-42AA-B19E-139B1F8CE45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5F62-42AA-B19E-139B1F8CE45A}"/>
              </c:ext>
            </c:extLst>
          </c:dPt>
          <c:dLbls>
            <c:dLbl>
              <c:idx val="0"/>
              <c:layout>
                <c:manualLayout>
                  <c:x val="0.1388888888888889"/>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62-42AA-B19E-139B1F8CE45A}"/>
                </c:ext>
              </c:extLst>
            </c:dLbl>
            <c:dLbl>
              <c:idx val="1"/>
              <c:layout>
                <c:manualLayout>
                  <c:x val="0.14444444444444443"/>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62-42AA-B19E-139B1F8CE45A}"/>
                </c:ext>
              </c:extLst>
            </c:dLbl>
            <c:dLbl>
              <c:idx val="2"/>
              <c:layout>
                <c:manualLayout>
                  <c:x val="-0.16388888888888889"/>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62-42AA-B19E-139B1F8CE45A}"/>
                </c:ext>
              </c:extLst>
            </c:dLbl>
            <c:dLbl>
              <c:idx val="3"/>
              <c:layout>
                <c:manualLayout>
                  <c:x val="-0.125"/>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62-42AA-B19E-139B1F8CE45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_ "Rs."\ * #,##0_ ;_ "Rs."\ * \-#,##0_ ;_ "Rs."\ * "-"_ ;_ @_ </c:formatCode>
                <c:ptCount val="4"/>
                <c:pt idx="0">
                  <c:v>3534400</c:v>
                </c:pt>
                <c:pt idx="1">
                  <c:v>2661400</c:v>
                </c:pt>
                <c:pt idx="2">
                  <c:v>2870600</c:v>
                </c:pt>
                <c:pt idx="3">
                  <c:v>3878100</c:v>
                </c:pt>
              </c:numCache>
            </c:numRef>
          </c:val>
          <c:extLst>
            <c:ext xmlns:c16="http://schemas.microsoft.com/office/drawing/2014/chart" uri="{C3380CC4-5D6E-409C-BE32-E72D297353CC}">
              <c16:uniqueId val="{00000000-5F62-42AA-B19E-139B1F8CE45A}"/>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Project(Sales Dashboard).xlsx]Pivot Tables!PivotTable3</c:name>
    <c:fmtId val="1"/>
  </c:pivotSource>
  <c:chart>
    <c:autoTitleDeleted val="1"/>
    <c:pivotFmts>
      <c:pivotFmt>
        <c:idx val="0"/>
        <c:spPr>
          <a:solidFill>
            <a:srgbClr val="002060"/>
          </a:solidFill>
          <a:ln>
            <a:noFill/>
          </a:ln>
          <a:effectLst/>
        </c:spPr>
        <c:marker>
          <c:symbol val="none"/>
        </c:marker>
        <c:dLbl>
          <c:idx val="0"/>
          <c:numFmt formatCode="_ &quot;Rs.&quot;\ * #,##0_ ;_ &quot;Rs.&quot;\ * \-#,##0_ ;_ &quot;Rs.&quot;\ * &quot;-&quot;_ ;_ @_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rgbClr val="002060"/>
          </a:solidFill>
          <a:ln>
            <a:noFill/>
          </a:ln>
          <a:effectLst/>
        </c:spPr>
      </c:pivotFmt>
    </c:pivotFmts>
    <c:plotArea>
      <c:layout/>
      <c:barChart>
        <c:barDir val="bar"/>
        <c:grouping val="clustered"/>
        <c:varyColors val="0"/>
        <c:ser>
          <c:idx val="0"/>
          <c:order val="0"/>
          <c:tx>
            <c:strRef>
              <c:f>'Pivot Tables'!$E$3</c:f>
              <c:strCache>
                <c:ptCount val="1"/>
                <c:pt idx="0">
                  <c:v>Total</c:v>
                </c:pt>
              </c:strCache>
            </c:strRef>
          </c:tx>
          <c:spPr>
            <a:solidFill>
              <a:srgbClr val="002060"/>
            </a:solidFill>
            <a:ln>
              <a:noFill/>
            </a:ln>
            <a:effectLst/>
          </c:spPr>
          <c:invertIfNegative val="0"/>
          <c:dLbls>
            <c:numFmt formatCode="_ &quot;Rs.&quot;\ * #,##0_ ;_ &quot;Rs.&quot;\ * \-#,##0_ ;_ &quot;Rs.&quot;\ * &quot;-&quot;_ ;_ @_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Tables'!$D$4:$D$11</c:f>
              <c:strCache>
                <c:ptCount val="7"/>
                <c:pt idx="0">
                  <c:v>Action Figure</c:v>
                </c:pt>
                <c:pt idx="1">
                  <c:v>Blender</c:v>
                </c:pt>
                <c:pt idx="2">
                  <c:v>Moisturizer</c:v>
                </c:pt>
                <c:pt idx="3">
                  <c:v>Novel</c:v>
                </c:pt>
                <c:pt idx="4">
                  <c:v>Smartphone</c:v>
                </c:pt>
                <c:pt idx="5">
                  <c:v>Sneakers</c:v>
                </c:pt>
                <c:pt idx="6">
                  <c:v>Tent</c:v>
                </c:pt>
              </c:strCache>
            </c:strRef>
          </c:cat>
          <c:val>
            <c:numRef>
              <c:f>'Pivot Tables'!$E$4:$E$11</c:f>
              <c:numCache>
                <c:formatCode>_ "Rs."\ * #,##0_ ;_ "Rs."\ * \-#,##0_ ;_ "Rs."\ * "-"_ ;_ @_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72EE-4E6A-B1AE-94C13DC3559A}"/>
            </c:ext>
          </c:extLst>
        </c:ser>
        <c:dLbls>
          <c:showLegendKey val="0"/>
          <c:showVal val="0"/>
          <c:showCatName val="0"/>
          <c:showSerName val="0"/>
          <c:showPercent val="0"/>
          <c:showBubbleSize val="0"/>
        </c:dLbls>
        <c:gapWidth val="67"/>
        <c:overlap val="-3"/>
        <c:axId val="2016598095"/>
        <c:axId val="2016598575"/>
      </c:barChart>
      <c:catAx>
        <c:axId val="2016598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598575"/>
        <c:crosses val="autoZero"/>
        <c:auto val="1"/>
        <c:lblAlgn val="ctr"/>
        <c:lblOffset val="100"/>
        <c:noMultiLvlLbl val="0"/>
      </c:catAx>
      <c:valAx>
        <c:axId val="2016598575"/>
        <c:scaling>
          <c:orientation val="minMax"/>
        </c:scaling>
        <c:delete val="1"/>
        <c:axPos val="b"/>
        <c:majorGridlines>
          <c:spPr>
            <a:ln w="9525" cap="flat" cmpd="sng" algn="ctr">
              <a:solidFill>
                <a:schemeClr val="tx1">
                  <a:lumMod val="15000"/>
                  <a:lumOff val="85000"/>
                </a:schemeClr>
              </a:solidFill>
              <a:round/>
            </a:ln>
            <a:effectLst/>
          </c:spPr>
        </c:majorGridlines>
        <c:numFmt formatCode="_ &quot;Rs.&quot;\ * #,##0_ ;_ &quot;Rs.&quot;\ * \-#,##0_ ;_ &quot;Rs.&quot;\ * &quot;-&quot;_ ;_ @_ " sourceLinked="1"/>
        <c:majorTickMark val="none"/>
        <c:minorTickMark val="none"/>
        <c:tickLblPos val="nextTo"/>
        <c:crossAx val="201659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Project(Sales Dashboard).xlsx]Pivot Tables!PivotTable4</c:name>
    <c:fmtId val="0"/>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Tables'!$H$4:$H$14</c:f>
              <c:numCache>
                <c:formatCode>_ "Rs."\ * #,##0_ ;_ "Rs."\ * \-#,##0_ ;_ "Rs."\ * "-"_ ;_ @_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F388-4C99-BCDB-B6F5CB04778E}"/>
            </c:ext>
          </c:extLst>
        </c:ser>
        <c:dLbls>
          <c:showLegendKey val="0"/>
          <c:showVal val="0"/>
          <c:showCatName val="0"/>
          <c:showSerName val="0"/>
          <c:showPercent val="0"/>
          <c:showBubbleSize val="0"/>
        </c:dLbls>
        <c:gapWidth val="99"/>
        <c:overlap val="-27"/>
        <c:axId val="2016600975"/>
        <c:axId val="2016600015"/>
      </c:barChart>
      <c:catAx>
        <c:axId val="201660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600015"/>
        <c:crosses val="autoZero"/>
        <c:auto val="1"/>
        <c:lblAlgn val="ctr"/>
        <c:lblOffset val="100"/>
        <c:noMultiLvlLbl val="0"/>
      </c:catAx>
      <c:valAx>
        <c:axId val="2016600015"/>
        <c:scaling>
          <c:orientation val="minMax"/>
        </c:scaling>
        <c:delete val="1"/>
        <c:axPos val="l"/>
        <c:numFmt formatCode="_ &quot;Rs.&quot;\ * #,##0_ ;_ &quot;Rs.&quot;\ * \-#,##0_ ;_ &quot;Rs.&quot;\ * &quot;-&quot;_ ;_ @_ " sourceLinked="1"/>
        <c:majorTickMark val="out"/>
        <c:minorTickMark val="none"/>
        <c:tickLblPos val="nextTo"/>
        <c:crossAx val="201660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Project(Sales Dashboard).xlsx]Pivot Tables!PivotTable5</c:name>
    <c:fmtId val="0"/>
  </c:pivotSource>
  <c:chart>
    <c:autoTitleDeleted val="1"/>
    <c:pivotFmts>
      <c:pivotFmt>
        <c:idx val="0"/>
        <c:spPr>
          <a:ln w="34925" cap="rnd">
            <a:solidFill>
              <a:schemeClr val="lt1"/>
            </a:solidFill>
            <a:round/>
          </a:ln>
          <a:effectLst>
            <a:outerShdw dist="25400" dir="2700000" algn="tl" rotWithShape="0">
              <a:schemeClr val="accent6"/>
            </a:outerShdw>
          </a:effectLst>
        </c:spPr>
        <c:marker>
          <c:symbol val="square"/>
          <c:size val="8"/>
          <c:spPr>
            <a:noFill/>
            <a:ln w="22225">
              <a:solidFill>
                <a:srgbClr val="00206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Tables'!$L$3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square"/>
            <c:size val="8"/>
            <c:spPr>
              <a:noFill/>
              <a:ln w="22225">
                <a:solidFill>
                  <a:srgbClr val="002060"/>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Tables'!$K$4:$K$11</c:f>
              <c:strCache>
                <c:ptCount val="7"/>
                <c:pt idx="0">
                  <c:v>Action Figure</c:v>
                </c:pt>
                <c:pt idx="1">
                  <c:v>Blender</c:v>
                </c:pt>
                <c:pt idx="2">
                  <c:v>Moisturizer</c:v>
                </c:pt>
                <c:pt idx="3">
                  <c:v>Novel</c:v>
                </c:pt>
                <c:pt idx="4">
                  <c:v>Smartphone</c:v>
                </c:pt>
                <c:pt idx="5">
                  <c:v>Sneakers</c:v>
                </c:pt>
                <c:pt idx="6">
                  <c:v>Tent</c:v>
                </c:pt>
              </c:strCache>
            </c:strRef>
          </c:cat>
          <c:val>
            <c:numRef>
              <c:f>'Pivot Tables'!$L$4:$L$11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FEB5-4EB9-AC26-5801837ACA9C}"/>
            </c:ext>
          </c:extLst>
        </c:ser>
        <c:dLbls>
          <c:dLblPos val="t"/>
          <c:showLegendKey val="0"/>
          <c:showVal val="1"/>
          <c:showCatName val="0"/>
          <c:showSerName val="0"/>
          <c:showPercent val="0"/>
          <c:showBubbleSize val="0"/>
        </c:dLbls>
        <c:dropLines>
          <c:spPr>
            <a:ln w="19050" cap="flat" cmpd="sng" algn="ctr">
              <a:solidFill>
                <a:srgbClr val="002060"/>
              </a:solidFill>
              <a:round/>
            </a:ln>
            <a:effectLst/>
          </c:spPr>
        </c:dropLines>
        <c:marker val="1"/>
        <c:smooth val="0"/>
        <c:axId val="2016607695"/>
        <c:axId val="2016607215"/>
      </c:lineChart>
      <c:catAx>
        <c:axId val="2016607695"/>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ysClr val="windowText" lastClr="000000"/>
                </a:solidFill>
                <a:latin typeface="+mn-lt"/>
                <a:ea typeface="+mn-ea"/>
                <a:cs typeface="+mn-cs"/>
              </a:defRPr>
            </a:pPr>
            <a:endParaRPr lang="en-US"/>
          </a:p>
        </c:txPr>
        <c:crossAx val="2016607215"/>
        <c:crosses val="autoZero"/>
        <c:auto val="1"/>
        <c:lblAlgn val="ctr"/>
        <c:lblOffset val="100"/>
        <c:noMultiLvlLbl val="0"/>
      </c:catAx>
      <c:valAx>
        <c:axId val="2016607215"/>
        <c:scaling>
          <c:orientation val="minMax"/>
        </c:scaling>
        <c:delete val="1"/>
        <c:axPos val="l"/>
        <c:numFmt formatCode="General" sourceLinked="1"/>
        <c:majorTickMark val="none"/>
        <c:minorTickMark val="none"/>
        <c:tickLblPos val="nextTo"/>
        <c:crossAx val="201660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Project(Sales Dashboard).xlsx]Pivot Tables!PivotTable5</c:name>
    <c:fmtId val="11"/>
  </c:pivotSource>
  <c:chart>
    <c:autoTitleDeleted val="1"/>
    <c:pivotFmts>
      <c:pivotFmt>
        <c:idx val="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square"/>
          <c:size val="8"/>
          <c:spPr>
            <a:noFill/>
            <a:ln w="22225">
              <a:solidFill>
                <a:srgbClr val="00206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square"/>
          <c:size val="8"/>
          <c:spPr>
            <a:noFill/>
            <a:ln w="22225">
              <a:solidFill>
                <a:srgbClr val="00206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6"/>
            </a:outerShdw>
          </a:effectLst>
        </c:spPr>
        <c:marker>
          <c:symbol val="square"/>
          <c:size val="8"/>
          <c:spPr>
            <a:noFill/>
            <a:ln w="22225">
              <a:solidFill>
                <a:srgbClr val="002060"/>
              </a:solidFill>
              <a:round/>
            </a:ln>
            <a:effectLst/>
          </c:spPr>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508657013705949E-2"/>
          <c:y val="5.2432460835166152E-2"/>
          <c:w val="0.91861916470520555"/>
          <c:h val="0.83737229674445834"/>
        </c:manualLayout>
      </c:layout>
      <c:lineChart>
        <c:grouping val="standard"/>
        <c:varyColors val="0"/>
        <c:ser>
          <c:idx val="0"/>
          <c:order val="0"/>
          <c:tx>
            <c:strRef>
              <c:f>'Pivot Tables'!$L$3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square"/>
            <c:size val="8"/>
            <c:spPr>
              <a:noFill/>
              <a:ln w="22225">
                <a:solidFill>
                  <a:srgbClr val="002060"/>
                </a:solidFill>
                <a:round/>
              </a:ln>
              <a:effectLst/>
            </c:spPr>
          </c:marker>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Tables'!$K$4:$K$11</c:f>
              <c:strCache>
                <c:ptCount val="7"/>
                <c:pt idx="0">
                  <c:v>Action Figure</c:v>
                </c:pt>
                <c:pt idx="1">
                  <c:v>Blender</c:v>
                </c:pt>
                <c:pt idx="2">
                  <c:v>Moisturizer</c:v>
                </c:pt>
                <c:pt idx="3">
                  <c:v>Novel</c:v>
                </c:pt>
                <c:pt idx="4">
                  <c:v>Smartphone</c:v>
                </c:pt>
                <c:pt idx="5">
                  <c:v>Sneakers</c:v>
                </c:pt>
                <c:pt idx="6">
                  <c:v>Tent</c:v>
                </c:pt>
              </c:strCache>
            </c:strRef>
          </c:cat>
          <c:val>
            <c:numRef>
              <c:f>'Pivot Tables'!$L$4:$L$11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0832-4BC8-8565-5FC1C12C2572}"/>
            </c:ext>
          </c:extLst>
        </c:ser>
        <c:dLbls>
          <c:dLblPos val="t"/>
          <c:showLegendKey val="0"/>
          <c:showVal val="1"/>
          <c:showCatName val="0"/>
          <c:showSerName val="0"/>
          <c:showPercent val="0"/>
          <c:showBubbleSize val="0"/>
        </c:dLbls>
        <c:dropLines>
          <c:spPr>
            <a:ln w="19050" cap="flat" cmpd="sng" algn="ctr">
              <a:solidFill>
                <a:srgbClr val="002060"/>
              </a:solidFill>
              <a:round/>
            </a:ln>
            <a:effectLst/>
          </c:spPr>
        </c:dropLines>
        <c:marker val="1"/>
        <c:smooth val="0"/>
        <c:axId val="2016607695"/>
        <c:axId val="2016607215"/>
      </c:lineChart>
      <c:catAx>
        <c:axId val="2016607695"/>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ysClr val="windowText" lastClr="000000"/>
                </a:solidFill>
                <a:latin typeface="+mn-lt"/>
                <a:ea typeface="+mn-ea"/>
                <a:cs typeface="+mn-cs"/>
              </a:defRPr>
            </a:pPr>
            <a:endParaRPr lang="en-US"/>
          </a:p>
        </c:txPr>
        <c:crossAx val="2016607215"/>
        <c:crosses val="autoZero"/>
        <c:auto val="1"/>
        <c:lblAlgn val="ctr"/>
        <c:lblOffset val="100"/>
        <c:noMultiLvlLbl val="0"/>
      </c:catAx>
      <c:valAx>
        <c:axId val="2016607215"/>
        <c:scaling>
          <c:orientation val="minMax"/>
        </c:scaling>
        <c:delete val="1"/>
        <c:axPos val="l"/>
        <c:numFmt formatCode="General" sourceLinked="1"/>
        <c:majorTickMark val="none"/>
        <c:minorTickMark val="none"/>
        <c:tickLblPos val="nextTo"/>
        <c:crossAx val="201660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Project(Sales Dashboard).xlsx]Pivot Tables!PivotTable1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444444444444444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8888888888889"/>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2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0.16388888888888889"/>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88888888888889"/>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44444444444444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6388888888888889"/>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solidFill>
              <a:schemeClr val="lt1"/>
            </a:solidFill>
          </a:ln>
          <a:effectLst/>
        </c:spPr>
        <c:dLbl>
          <c:idx val="0"/>
          <c:layout>
            <c:manualLayout>
              <c:x val="0.1388888888888889"/>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w="19050">
            <a:solidFill>
              <a:schemeClr val="lt1"/>
            </a:solidFill>
          </a:ln>
          <a:effectLst/>
        </c:spPr>
        <c:dLbl>
          <c:idx val="0"/>
          <c:layout>
            <c:manualLayout>
              <c:x val="0.1444444444444444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w="19050">
            <a:solidFill>
              <a:schemeClr val="lt1"/>
            </a:solidFill>
          </a:ln>
          <a:effectLst/>
        </c:spPr>
        <c:dLbl>
          <c:idx val="0"/>
          <c:layout>
            <c:manualLayout>
              <c:x val="-0.16388888888888889"/>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50"/>
          </a:solidFill>
          <a:ln w="19050">
            <a:solidFill>
              <a:schemeClr val="lt1"/>
            </a:solidFill>
          </a:ln>
          <a:effectLst/>
        </c:spPr>
        <c:dLbl>
          <c:idx val="0"/>
          <c:layout>
            <c:manualLayout>
              <c:x val="-0.12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Tables'!$B$3</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331F-458A-AE9E-BC20061F7971}"/>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331F-458A-AE9E-BC20061F7971}"/>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331F-458A-AE9E-BC20061F7971}"/>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331F-458A-AE9E-BC20061F7971}"/>
              </c:ext>
            </c:extLst>
          </c:dPt>
          <c:dLbls>
            <c:dLbl>
              <c:idx val="0"/>
              <c:layout>
                <c:manualLayout>
                  <c:x val="0.1388888888888889"/>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1F-458A-AE9E-BC20061F7971}"/>
                </c:ext>
              </c:extLst>
            </c:dLbl>
            <c:dLbl>
              <c:idx val="1"/>
              <c:layout>
                <c:manualLayout>
                  <c:x val="0.14444444444444443"/>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1F-458A-AE9E-BC20061F7971}"/>
                </c:ext>
              </c:extLst>
            </c:dLbl>
            <c:dLbl>
              <c:idx val="2"/>
              <c:layout>
                <c:manualLayout>
                  <c:x val="-0.16388888888888889"/>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1F-458A-AE9E-BC20061F7971}"/>
                </c:ext>
              </c:extLst>
            </c:dLbl>
            <c:dLbl>
              <c:idx val="3"/>
              <c:layout>
                <c:manualLayout>
                  <c:x val="-0.125"/>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31F-458A-AE9E-BC20061F797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_ "Rs."\ * #,##0_ ;_ "Rs."\ * \-#,##0_ ;_ "Rs."\ * "-"_ ;_ @_ </c:formatCode>
                <c:ptCount val="4"/>
                <c:pt idx="0">
                  <c:v>3534400</c:v>
                </c:pt>
                <c:pt idx="1">
                  <c:v>2661400</c:v>
                </c:pt>
                <c:pt idx="2">
                  <c:v>2870600</c:v>
                </c:pt>
                <c:pt idx="3">
                  <c:v>3878100</c:v>
                </c:pt>
              </c:numCache>
            </c:numRef>
          </c:val>
          <c:extLst>
            <c:ext xmlns:c16="http://schemas.microsoft.com/office/drawing/2014/chart" uri="{C3380CC4-5D6E-409C-BE32-E72D297353CC}">
              <c16:uniqueId val="{00000008-331F-458A-AE9E-BC20061F7971}"/>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Project(Sales Dashboard).xlsx]Pivot Tables!PivotTable3</c:name>
    <c:fmtId val="3"/>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7738898265353"/>
          <c:y val="9.6314305914780796E-2"/>
          <c:w val="0.88054021935301163"/>
          <c:h val="0.90368569408521915"/>
        </c:manualLayout>
      </c:layout>
      <c:barChart>
        <c:barDir val="bar"/>
        <c:grouping val="clustered"/>
        <c:varyColors val="0"/>
        <c:ser>
          <c:idx val="0"/>
          <c:order val="0"/>
          <c:tx>
            <c:strRef>
              <c:f>'Pivot Tables'!$E$3</c:f>
              <c:strCache>
                <c:ptCount val="1"/>
                <c:pt idx="0">
                  <c:v>Total</c:v>
                </c:pt>
              </c:strCache>
            </c:strRef>
          </c:tx>
          <c:spPr>
            <a:solidFill>
              <a:srgbClr val="002060"/>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Tables'!$D$4:$D$11</c:f>
              <c:strCache>
                <c:ptCount val="7"/>
                <c:pt idx="0">
                  <c:v>Action Figure</c:v>
                </c:pt>
                <c:pt idx="1">
                  <c:v>Blender</c:v>
                </c:pt>
                <c:pt idx="2">
                  <c:v>Moisturizer</c:v>
                </c:pt>
                <c:pt idx="3">
                  <c:v>Novel</c:v>
                </c:pt>
                <c:pt idx="4">
                  <c:v>Smartphone</c:v>
                </c:pt>
                <c:pt idx="5">
                  <c:v>Sneakers</c:v>
                </c:pt>
                <c:pt idx="6">
                  <c:v>Tent</c:v>
                </c:pt>
              </c:strCache>
            </c:strRef>
          </c:cat>
          <c:val>
            <c:numRef>
              <c:f>'Pivot Tables'!$E$4:$E$11</c:f>
              <c:numCache>
                <c:formatCode>_ "Rs."\ * #,##0_ ;_ "Rs."\ * \-#,##0_ ;_ "Rs."\ * "-"_ ;_ @_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878B-4DCA-8305-AFC1EF1254DA}"/>
            </c:ext>
          </c:extLst>
        </c:ser>
        <c:dLbls>
          <c:showLegendKey val="0"/>
          <c:showVal val="0"/>
          <c:showCatName val="0"/>
          <c:showSerName val="0"/>
          <c:showPercent val="0"/>
          <c:showBubbleSize val="0"/>
        </c:dLbls>
        <c:gapWidth val="67"/>
        <c:overlap val="-3"/>
        <c:axId val="2016598095"/>
        <c:axId val="2016598575"/>
      </c:barChart>
      <c:catAx>
        <c:axId val="2016598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598575"/>
        <c:crosses val="autoZero"/>
        <c:auto val="1"/>
        <c:lblAlgn val="ctr"/>
        <c:lblOffset val="100"/>
        <c:noMultiLvlLbl val="0"/>
      </c:catAx>
      <c:valAx>
        <c:axId val="2016598575"/>
        <c:scaling>
          <c:orientation val="minMax"/>
        </c:scaling>
        <c:delete val="1"/>
        <c:axPos val="b"/>
        <c:majorGridlines>
          <c:spPr>
            <a:ln w="9525" cap="flat" cmpd="sng" algn="ctr">
              <a:solidFill>
                <a:schemeClr val="tx1">
                  <a:lumMod val="15000"/>
                  <a:lumOff val="85000"/>
                </a:schemeClr>
              </a:solidFill>
              <a:round/>
            </a:ln>
            <a:effectLst/>
          </c:spPr>
        </c:majorGridlines>
        <c:numFmt formatCode="_ &quot;Rs.&quot;\ * #,##0_ ;_ &quot;Rs.&quot;\ * \-#,##0_ ;_ &quot;Rs.&quot;\ * &quot;-&quot;_ ;_ @_ " sourceLinked="1"/>
        <c:majorTickMark val="none"/>
        <c:minorTickMark val="none"/>
        <c:tickLblPos val="nextTo"/>
        <c:crossAx val="201659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Project(Sales Dashboard).xlsx]Pivot Tables!PivotTable4</c:name>
    <c:fmtId val="2"/>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Tables'!$H$4:$H$14</c:f>
              <c:numCache>
                <c:formatCode>_ "Rs."\ * #,##0_ ;_ "Rs."\ * \-#,##0_ ;_ "Rs."\ * "-"_ ;_ @_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0202-4878-9E96-2648302DFA20}"/>
            </c:ext>
          </c:extLst>
        </c:ser>
        <c:dLbls>
          <c:showLegendKey val="0"/>
          <c:showVal val="0"/>
          <c:showCatName val="0"/>
          <c:showSerName val="0"/>
          <c:showPercent val="0"/>
          <c:showBubbleSize val="0"/>
        </c:dLbls>
        <c:gapWidth val="99"/>
        <c:overlap val="-27"/>
        <c:axId val="2016600975"/>
        <c:axId val="2016600015"/>
      </c:barChart>
      <c:catAx>
        <c:axId val="201660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600015"/>
        <c:crosses val="autoZero"/>
        <c:auto val="1"/>
        <c:lblAlgn val="ctr"/>
        <c:lblOffset val="100"/>
        <c:noMultiLvlLbl val="0"/>
      </c:catAx>
      <c:valAx>
        <c:axId val="2016600015"/>
        <c:scaling>
          <c:orientation val="minMax"/>
        </c:scaling>
        <c:delete val="1"/>
        <c:axPos val="l"/>
        <c:numFmt formatCode="_ &quot;Rs.&quot;\ * #,##0_ ;_ &quot;Rs.&quot;\ * \-#,##0_ ;_ &quot;Rs.&quot;\ * &quot;-&quot;_ ;_ @_ " sourceLinked="1"/>
        <c:majorTickMark val="out"/>
        <c:minorTickMark val="none"/>
        <c:tickLblPos val="nextTo"/>
        <c:crossAx val="201660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49530</xdr:rowOff>
    </xdr:from>
    <xdr:to>
      <xdr:col>5</xdr:col>
      <xdr:colOff>45720</xdr:colOff>
      <xdr:row>30</xdr:row>
      <xdr:rowOff>49530</xdr:rowOff>
    </xdr:to>
    <xdr:graphicFrame macro="">
      <xdr:nvGraphicFramePr>
        <xdr:cNvPr id="2" name="Chart 1">
          <a:extLst>
            <a:ext uri="{FF2B5EF4-FFF2-40B4-BE49-F238E27FC236}">
              <a16:creationId xmlns:a16="http://schemas.microsoft.com/office/drawing/2014/main" id="{B18CA9E8-EB90-0CBE-F015-9A07312F0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60960</xdr:colOff>
      <xdr:row>15</xdr:row>
      <xdr:rowOff>57150</xdr:rowOff>
    </xdr:from>
    <xdr:to>
      <xdr:col>13</xdr:col>
      <xdr:colOff>579120</xdr:colOff>
      <xdr:row>31</xdr:row>
      <xdr:rowOff>60960</xdr:rowOff>
    </xdr:to>
    <xdr:graphicFrame macro="">
      <xdr:nvGraphicFramePr>
        <xdr:cNvPr id="4" name="Chart 3">
          <a:extLst>
            <a:ext uri="{FF2B5EF4-FFF2-40B4-BE49-F238E27FC236}">
              <a16:creationId xmlns:a16="http://schemas.microsoft.com/office/drawing/2014/main" id="{643FB88B-6889-EF1D-D909-3696EA2E1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182880</xdr:colOff>
      <xdr:row>33</xdr:row>
      <xdr:rowOff>3810</xdr:rowOff>
    </xdr:from>
    <xdr:to>
      <xdr:col>7</xdr:col>
      <xdr:colOff>800100</xdr:colOff>
      <xdr:row>49</xdr:row>
      <xdr:rowOff>106680</xdr:rowOff>
    </xdr:to>
    <xdr:graphicFrame macro="">
      <xdr:nvGraphicFramePr>
        <xdr:cNvPr id="5" name="Chart 4">
          <a:extLst>
            <a:ext uri="{FF2B5EF4-FFF2-40B4-BE49-F238E27FC236}">
              <a16:creationId xmlns:a16="http://schemas.microsoft.com/office/drawing/2014/main" id="{2340C0B5-565F-330D-BB56-8A91CF1AE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883920</xdr:colOff>
      <xdr:row>33</xdr:row>
      <xdr:rowOff>3810</xdr:rowOff>
    </xdr:from>
    <xdr:to>
      <xdr:col>13</xdr:col>
      <xdr:colOff>601980</xdr:colOff>
      <xdr:row>48</xdr:row>
      <xdr:rowOff>3810</xdr:rowOff>
    </xdr:to>
    <xdr:graphicFrame macro="">
      <xdr:nvGraphicFramePr>
        <xdr:cNvPr id="6" name="Chart 5">
          <a:extLst>
            <a:ext uri="{FF2B5EF4-FFF2-40B4-BE49-F238E27FC236}">
              <a16:creationId xmlns:a16="http://schemas.microsoft.com/office/drawing/2014/main" id="{AA028410-BDBE-9FED-C7BE-816BE0365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103966</xdr:colOff>
      <xdr:row>16</xdr:row>
      <xdr:rowOff>102831</xdr:rowOff>
    </xdr:from>
    <xdr:to>
      <xdr:col>17</xdr:col>
      <xdr:colOff>99439</xdr:colOff>
      <xdr:row>30</xdr:row>
      <xdr:rowOff>149136</xdr:rowOff>
    </xdr:to>
    <mc:AlternateContent xmlns:mc="http://schemas.openxmlformats.org/markup-compatibility/2006" xmlns:a14="http://schemas.microsoft.com/office/drawing/2010/main">
      <mc:Choice Requires="a14">
        <xdr:graphicFrame macro="">
          <xdr:nvGraphicFramePr>
            <xdr:cNvPr id="7" name="Sales Person">
              <a:extLst>
                <a:ext uri="{FF2B5EF4-FFF2-40B4-BE49-F238E27FC236}">
                  <a16:creationId xmlns:a16="http://schemas.microsoft.com/office/drawing/2014/main" id="{97778CCB-7E6E-71CA-B6E6-6875F3496DB7}"/>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1903649" y="29999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644381</xdr:colOff>
      <xdr:row>7</xdr:row>
      <xdr:rowOff>100042</xdr:rowOff>
    </xdr:from>
    <xdr:to>
      <xdr:col>2</xdr:col>
      <xdr:colOff>428607</xdr:colOff>
      <xdr:row>11</xdr:row>
      <xdr:rowOff>75446</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FAC70D87-0441-3C61-0C1E-D873CEF82D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4381" y="1367527"/>
              <a:ext cx="1828800" cy="699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204005</xdr:colOff>
      <xdr:row>0</xdr:row>
      <xdr:rowOff>0</xdr:rowOff>
    </xdr:from>
    <xdr:to>
      <xdr:col>16</xdr:col>
      <xdr:colOff>199478</xdr:colOff>
      <xdr:row>14</xdr:row>
      <xdr:rowOff>46305</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5D0D3BEE-22DE-18A4-12C5-62329428F37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392579"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5730</xdr:colOff>
      <xdr:row>0</xdr:row>
      <xdr:rowOff>1</xdr:rowOff>
    </xdr:from>
    <xdr:to>
      <xdr:col>20</xdr:col>
      <xdr:colOff>10160</xdr:colOff>
      <xdr:row>4</xdr:row>
      <xdr:rowOff>124048</xdr:rowOff>
    </xdr:to>
    <xdr:sp macro="" textlink="">
      <xdr:nvSpPr>
        <xdr:cNvPr id="2" name="Rectangle: Rounded Corners 1">
          <a:extLst>
            <a:ext uri="{FF2B5EF4-FFF2-40B4-BE49-F238E27FC236}">
              <a16:creationId xmlns:a16="http://schemas.microsoft.com/office/drawing/2014/main" id="{1BB43C70-39E1-CE24-DF0C-85242AE5DA5E}"/>
            </a:ext>
          </a:extLst>
        </xdr:cNvPr>
        <xdr:cNvSpPr/>
      </xdr:nvSpPr>
      <xdr:spPr>
        <a:xfrm>
          <a:off x="5730" y="1"/>
          <a:ext cx="12231872" cy="868326"/>
        </a:xfrm>
        <a:prstGeom prst="roundRect">
          <a:avLst>
            <a:gd name="adj" fmla="val 11378"/>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5</xdr:row>
      <xdr:rowOff>84217</xdr:rowOff>
    </xdr:from>
    <xdr:to>
      <xdr:col>3</xdr:col>
      <xdr:colOff>433884</xdr:colOff>
      <xdr:row>9</xdr:row>
      <xdr:rowOff>168393</xdr:rowOff>
    </xdr:to>
    <xdr:grpSp>
      <xdr:nvGrpSpPr>
        <xdr:cNvPr id="8" name="Group 7">
          <a:extLst>
            <a:ext uri="{FF2B5EF4-FFF2-40B4-BE49-F238E27FC236}">
              <a16:creationId xmlns:a16="http://schemas.microsoft.com/office/drawing/2014/main" id="{28F550A0-A57F-3734-4DA3-A3665D701663}"/>
            </a:ext>
          </a:extLst>
        </xdr:cNvPr>
        <xdr:cNvGrpSpPr/>
      </xdr:nvGrpSpPr>
      <xdr:grpSpPr>
        <a:xfrm>
          <a:off x="0" y="1005316"/>
          <a:ext cx="2267708" cy="821055"/>
          <a:chOff x="0" y="993701"/>
          <a:chExt cx="2262684" cy="811763"/>
        </a:xfrm>
      </xdr:grpSpPr>
      <xdr:sp macro="" textlink="">
        <xdr:nvSpPr>
          <xdr:cNvPr id="3" name="Rectangle: Rounded Corners 2">
            <a:extLst>
              <a:ext uri="{FF2B5EF4-FFF2-40B4-BE49-F238E27FC236}">
                <a16:creationId xmlns:a16="http://schemas.microsoft.com/office/drawing/2014/main" id="{D5F99458-574E-E773-4309-26AB2E22EB31}"/>
              </a:ext>
            </a:extLst>
          </xdr:cNvPr>
          <xdr:cNvSpPr/>
        </xdr:nvSpPr>
        <xdr:spPr>
          <a:xfrm>
            <a:off x="0" y="999906"/>
            <a:ext cx="2262684" cy="805558"/>
          </a:xfrm>
          <a:prstGeom prst="roundRect">
            <a:avLst>
              <a:gd name="adj" fmla="val 11378"/>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tiihihkkijojjjljll</a:t>
            </a:r>
          </a:p>
        </xdr:txBody>
      </xdr:sp>
      <xdr:sp macro="" textlink="">
        <xdr:nvSpPr>
          <xdr:cNvPr id="4" name="Rectangle: Rounded Corners 3">
            <a:extLst>
              <a:ext uri="{FF2B5EF4-FFF2-40B4-BE49-F238E27FC236}">
                <a16:creationId xmlns:a16="http://schemas.microsoft.com/office/drawing/2014/main" id="{91CEA5B1-0E7A-83A6-9D7B-A6F09AAE25E1}"/>
              </a:ext>
            </a:extLst>
          </xdr:cNvPr>
          <xdr:cNvSpPr/>
        </xdr:nvSpPr>
        <xdr:spPr>
          <a:xfrm>
            <a:off x="0" y="993701"/>
            <a:ext cx="603152" cy="805558"/>
          </a:xfrm>
          <a:prstGeom prst="roundRect">
            <a:avLst>
              <a:gd name="adj" fmla="val 17046"/>
            </a:avLst>
          </a:prstGeom>
          <a:solidFill>
            <a:schemeClr val="accent6">
              <a:lumMod val="50000"/>
            </a:schemeClr>
          </a:solidFill>
          <a:ln>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23334E03-D863-D41C-1382-8E02CA556264}"/>
              </a:ext>
            </a:extLst>
          </xdr:cNvPr>
          <xdr:cNvSpPr txBox="1"/>
        </xdr:nvSpPr>
        <xdr:spPr>
          <a:xfrm>
            <a:off x="741100" y="1071846"/>
            <a:ext cx="1075578" cy="17790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lumMod val="50000"/>
                  </a:schemeClr>
                </a:solidFill>
              </a:rPr>
              <a:t>TOTAL SALES</a:t>
            </a:r>
          </a:p>
        </xdr:txBody>
      </xdr:sp>
      <xdr:sp macro="" textlink="SalesData!K2">
        <xdr:nvSpPr>
          <xdr:cNvPr id="6" name="TextBox 5">
            <a:extLst>
              <a:ext uri="{FF2B5EF4-FFF2-40B4-BE49-F238E27FC236}">
                <a16:creationId xmlns:a16="http://schemas.microsoft.com/office/drawing/2014/main" id="{A5D48D56-105F-ADFE-973D-36852D4C8A58}"/>
              </a:ext>
            </a:extLst>
          </xdr:cNvPr>
          <xdr:cNvSpPr txBox="1"/>
        </xdr:nvSpPr>
        <xdr:spPr>
          <a:xfrm>
            <a:off x="666019" y="1289725"/>
            <a:ext cx="1536405" cy="352263"/>
          </a:xfrm>
          <a:prstGeom prst="rect">
            <a:avLst/>
          </a:prstGeom>
          <a:solidFill>
            <a:schemeClr val="lt1"/>
          </a:solidFill>
          <a:ln w="9525" cmpd="sng">
            <a:solidFill>
              <a:schemeClr val="bg1"/>
            </a:solidFill>
          </a:ln>
          <a:effectLst>
            <a:outerShdw blurRad="50800"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0F09B8-7AF1-4845-AA88-2A6D118E10AB}" type="TxLink">
              <a:rPr lang="en-US" sz="1800" b="1" i="0" u="none" strike="noStrike">
                <a:solidFill>
                  <a:schemeClr val="accent6">
                    <a:lumMod val="50000"/>
                  </a:schemeClr>
                </a:solidFill>
                <a:latin typeface="Aptos Narrow"/>
              </a:rPr>
              <a:pPr/>
              <a:t> 1,29,44,500 </a:t>
            </a:fld>
            <a:endParaRPr lang="en-IN" sz="1800" b="1">
              <a:solidFill>
                <a:schemeClr val="accent6">
                  <a:lumMod val="50000"/>
                </a:schemeClr>
              </a:solidFill>
            </a:endParaRPr>
          </a:p>
        </xdr:txBody>
      </xdr:sp>
    </xdr:grpSp>
    <xdr:clientData/>
  </xdr:twoCellAnchor>
  <xdr:twoCellAnchor>
    <xdr:from>
      <xdr:col>3</xdr:col>
      <xdr:colOff>543438</xdr:colOff>
      <xdr:row>5</xdr:row>
      <xdr:rowOff>99725</xdr:rowOff>
    </xdr:from>
    <xdr:to>
      <xdr:col>7</xdr:col>
      <xdr:colOff>367722</xdr:colOff>
      <xdr:row>10</xdr:row>
      <xdr:rowOff>2004</xdr:rowOff>
    </xdr:to>
    <xdr:grpSp>
      <xdr:nvGrpSpPr>
        <xdr:cNvPr id="14" name="Group 13">
          <a:extLst>
            <a:ext uri="{FF2B5EF4-FFF2-40B4-BE49-F238E27FC236}">
              <a16:creationId xmlns:a16="http://schemas.microsoft.com/office/drawing/2014/main" id="{3BB1CC22-B9D1-F9B3-A95F-6AEB3B39102F}"/>
            </a:ext>
          </a:extLst>
        </xdr:cNvPr>
        <xdr:cNvGrpSpPr/>
      </xdr:nvGrpSpPr>
      <xdr:grpSpPr>
        <a:xfrm>
          <a:off x="2377262" y="1020824"/>
          <a:ext cx="2269383" cy="823378"/>
          <a:chOff x="0" y="993701"/>
          <a:chExt cx="2262684" cy="811763"/>
        </a:xfrm>
      </xdr:grpSpPr>
      <xdr:sp macro="" textlink="">
        <xdr:nvSpPr>
          <xdr:cNvPr id="15" name="Rectangle: Rounded Corners 14">
            <a:extLst>
              <a:ext uri="{FF2B5EF4-FFF2-40B4-BE49-F238E27FC236}">
                <a16:creationId xmlns:a16="http://schemas.microsoft.com/office/drawing/2014/main" id="{C01BF447-035E-E41E-75B4-8501AEF66482}"/>
              </a:ext>
            </a:extLst>
          </xdr:cNvPr>
          <xdr:cNvSpPr/>
        </xdr:nvSpPr>
        <xdr:spPr>
          <a:xfrm>
            <a:off x="0" y="999906"/>
            <a:ext cx="2262684" cy="805558"/>
          </a:xfrm>
          <a:prstGeom prst="roundRect">
            <a:avLst>
              <a:gd name="adj" fmla="val 11378"/>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tiihihkkijojjjljll</a:t>
            </a:r>
          </a:p>
        </xdr:txBody>
      </xdr:sp>
      <xdr:sp macro="" textlink="">
        <xdr:nvSpPr>
          <xdr:cNvPr id="16" name="Rectangle: Rounded Corners 15">
            <a:extLst>
              <a:ext uri="{FF2B5EF4-FFF2-40B4-BE49-F238E27FC236}">
                <a16:creationId xmlns:a16="http://schemas.microsoft.com/office/drawing/2014/main" id="{73C08FAE-9009-A1F0-8963-725A83BD7A20}"/>
              </a:ext>
            </a:extLst>
          </xdr:cNvPr>
          <xdr:cNvSpPr/>
        </xdr:nvSpPr>
        <xdr:spPr>
          <a:xfrm>
            <a:off x="0" y="993701"/>
            <a:ext cx="603152" cy="805558"/>
          </a:xfrm>
          <a:prstGeom prst="roundRect">
            <a:avLst>
              <a:gd name="adj" fmla="val 17046"/>
            </a:avLst>
          </a:prstGeom>
          <a:solidFill>
            <a:schemeClr val="accent6">
              <a:lumMod val="50000"/>
            </a:schemeClr>
          </a:solidFill>
          <a:ln>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E59FCBF4-21E7-F3F9-6303-E3507D4ADB64}"/>
              </a:ext>
            </a:extLst>
          </xdr:cNvPr>
          <xdr:cNvSpPr txBox="1"/>
        </xdr:nvSpPr>
        <xdr:spPr>
          <a:xfrm>
            <a:off x="741099" y="1071846"/>
            <a:ext cx="1239135" cy="17790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lumMod val="50000"/>
                  </a:schemeClr>
                </a:solidFill>
              </a:rPr>
              <a:t>AVERAGE</a:t>
            </a:r>
            <a:r>
              <a:rPr lang="en-IN" sz="1100" b="1" baseline="0">
                <a:solidFill>
                  <a:schemeClr val="accent6">
                    <a:lumMod val="50000"/>
                  </a:schemeClr>
                </a:solidFill>
              </a:rPr>
              <a:t> SALES</a:t>
            </a:r>
          </a:p>
          <a:p>
            <a:r>
              <a:rPr lang="en-IN" sz="1100" b="1">
                <a:solidFill>
                  <a:schemeClr val="accent6">
                    <a:lumMod val="50000"/>
                  </a:schemeClr>
                </a:solidFill>
              </a:rPr>
              <a:t> SALES</a:t>
            </a:r>
          </a:p>
        </xdr:txBody>
      </xdr:sp>
      <xdr:sp macro="" textlink="SalesData!K8">
        <xdr:nvSpPr>
          <xdr:cNvPr id="18" name="TextBox 17">
            <a:extLst>
              <a:ext uri="{FF2B5EF4-FFF2-40B4-BE49-F238E27FC236}">
                <a16:creationId xmlns:a16="http://schemas.microsoft.com/office/drawing/2014/main" id="{F71A33CA-50DE-287B-7E4E-282E8A29C3F9}"/>
              </a:ext>
            </a:extLst>
          </xdr:cNvPr>
          <xdr:cNvSpPr txBox="1"/>
        </xdr:nvSpPr>
        <xdr:spPr>
          <a:xfrm>
            <a:off x="666019" y="1289725"/>
            <a:ext cx="1536405" cy="352263"/>
          </a:xfrm>
          <a:prstGeom prst="rect">
            <a:avLst/>
          </a:prstGeom>
          <a:solidFill>
            <a:schemeClr val="lt1"/>
          </a:solidFill>
          <a:ln w="9525" cmpd="sng">
            <a:solidFill>
              <a:schemeClr val="bg1"/>
            </a:solidFill>
          </a:ln>
          <a:effectLst>
            <a:outerShdw blurRad="50800"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672767-13DB-4142-BF82-236AA6DBD874}" type="TxLink">
              <a:rPr lang="en-US" sz="1800" b="1" i="0" u="none" strike="noStrike">
                <a:solidFill>
                  <a:schemeClr val="accent6">
                    <a:lumMod val="50000"/>
                  </a:schemeClr>
                </a:solidFill>
                <a:latin typeface="Aptos Narrow"/>
              </a:rPr>
              <a:pPr/>
              <a:t> 2,58,890 </a:t>
            </a:fld>
            <a:endParaRPr lang="en-IN" sz="3200" b="1">
              <a:solidFill>
                <a:schemeClr val="accent6">
                  <a:lumMod val="50000"/>
                </a:schemeClr>
              </a:solidFill>
            </a:endParaRPr>
          </a:p>
        </xdr:txBody>
      </xdr:sp>
    </xdr:grpSp>
    <xdr:clientData/>
  </xdr:twoCellAnchor>
  <xdr:twoCellAnchor>
    <xdr:from>
      <xdr:col>7</xdr:col>
      <xdr:colOff>463668</xdr:colOff>
      <xdr:row>5</xdr:row>
      <xdr:rowOff>105784</xdr:rowOff>
    </xdr:from>
    <xdr:to>
      <xdr:col>11</xdr:col>
      <xdr:colOff>297334</xdr:colOff>
      <xdr:row>10</xdr:row>
      <xdr:rowOff>8063</xdr:rowOff>
    </xdr:to>
    <xdr:grpSp>
      <xdr:nvGrpSpPr>
        <xdr:cNvPr id="19" name="Group 18">
          <a:extLst>
            <a:ext uri="{FF2B5EF4-FFF2-40B4-BE49-F238E27FC236}">
              <a16:creationId xmlns:a16="http://schemas.microsoft.com/office/drawing/2014/main" id="{EEAAD735-CF33-CDB5-173B-3F98A0F54C0C}"/>
            </a:ext>
          </a:extLst>
        </xdr:cNvPr>
        <xdr:cNvGrpSpPr/>
      </xdr:nvGrpSpPr>
      <xdr:grpSpPr>
        <a:xfrm>
          <a:off x="4742591" y="1026883"/>
          <a:ext cx="2278765" cy="823378"/>
          <a:chOff x="0" y="993701"/>
          <a:chExt cx="2272124" cy="811763"/>
        </a:xfrm>
      </xdr:grpSpPr>
      <xdr:sp macro="" textlink="">
        <xdr:nvSpPr>
          <xdr:cNvPr id="20" name="Rectangle: Rounded Corners 19">
            <a:extLst>
              <a:ext uri="{FF2B5EF4-FFF2-40B4-BE49-F238E27FC236}">
                <a16:creationId xmlns:a16="http://schemas.microsoft.com/office/drawing/2014/main" id="{CC2DA5C9-367F-4242-235F-0FBCD95B7559}"/>
              </a:ext>
            </a:extLst>
          </xdr:cNvPr>
          <xdr:cNvSpPr/>
        </xdr:nvSpPr>
        <xdr:spPr>
          <a:xfrm>
            <a:off x="0" y="999906"/>
            <a:ext cx="2262684" cy="805558"/>
          </a:xfrm>
          <a:prstGeom prst="roundRect">
            <a:avLst>
              <a:gd name="adj" fmla="val 11378"/>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tiihihkkijojjjljll</a:t>
            </a:r>
          </a:p>
        </xdr:txBody>
      </xdr:sp>
      <xdr:sp macro="" textlink="">
        <xdr:nvSpPr>
          <xdr:cNvPr id="21" name="Rectangle: Rounded Corners 20">
            <a:extLst>
              <a:ext uri="{FF2B5EF4-FFF2-40B4-BE49-F238E27FC236}">
                <a16:creationId xmlns:a16="http://schemas.microsoft.com/office/drawing/2014/main" id="{2B8E753A-74F1-5115-23E5-AA66D1946BA2}"/>
              </a:ext>
            </a:extLst>
          </xdr:cNvPr>
          <xdr:cNvSpPr/>
        </xdr:nvSpPr>
        <xdr:spPr>
          <a:xfrm>
            <a:off x="0" y="993701"/>
            <a:ext cx="603152" cy="805558"/>
          </a:xfrm>
          <a:prstGeom prst="roundRect">
            <a:avLst>
              <a:gd name="adj" fmla="val 17046"/>
            </a:avLst>
          </a:prstGeom>
          <a:solidFill>
            <a:schemeClr val="accent6">
              <a:lumMod val="50000"/>
            </a:schemeClr>
          </a:solidFill>
          <a:ln>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4E811CF9-D724-D511-0099-4E2D8B00979F}"/>
              </a:ext>
            </a:extLst>
          </xdr:cNvPr>
          <xdr:cNvSpPr txBox="1"/>
        </xdr:nvSpPr>
        <xdr:spPr>
          <a:xfrm>
            <a:off x="741100" y="1071846"/>
            <a:ext cx="1075578" cy="17790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lumMod val="50000"/>
                  </a:schemeClr>
                </a:solidFill>
              </a:rPr>
              <a:t>UNITS</a:t>
            </a:r>
            <a:r>
              <a:rPr lang="en-IN" sz="1100" b="1" baseline="0">
                <a:solidFill>
                  <a:schemeClr val="accent6">
                    <a:lumMod val="50000"/>
                  </a:schemeClr>
                </a:solidFill>
              </a:rPr>
              <a:t> SOLD</a:t>
            </a:r>
          </a:p>
          <a:p>
            <a:endParaRPr lang="en-IN" sz="1100" b="1">
              <a:solidFill>
                <a:schemeClr val="accent6">
                  <a:lumMod val="50000"/>
                </a:schemeClr>
              </a:solidFill>
            </a:endParaRPr>
          </a:p>
        </xdr:txBody>
      </xdr:sp>
      <xdr:sp macro="" textlink="SalesData!K4">
        <xdr:nvSpPr>
          <xdr:cNvPr id="23" name="TextBox 22">
            <a:extLst>
              <a:ext uri="{FF2B5EF4-FFF2-40B4-BE49-F238E27FC236}">
                <a16:creationId xmlns:a16="http://schemas.microsoft.com/office/drawing/2014/main" id="{E7BE1A3F-3DCC-3620-0A1F-02F716534E5C}"/>
              </a:ext>
            </a:extLst>
          </xdr:cNvPr>
          <xdr:cNvSpPr txBox="1"/>
        </xdr:nvSpPr>
        <xdr:spPr>
          <a:xfrm>
            <a:off x="735719" y="1289725"/>
            <a:ext cx="1536405" cy="352263"/>
          </a:xfrm>
          <a:prstGeom prst="rect">
            <a:avLst/>
          </a:prstGeom>
          <a:solidFill>
            <a:schemeClr val="lt1"/>
          </a:solidFill>
          <a:ln w="9525" cmpd="sng">
            <a:solidFill>
              <a:schemeClr val="bg1"/>
            </a:solidFill>
          </a:ln>
          <a:effectLst>
            <a:outerShdw blurRad="50800"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642918-3748-43B8-9649-5DEDFD612E02}" type="TxLink">
              <a:rPr lang="en-US" sz="1800" b="1" i="0" u="none" strike="noStrike">
                <a:solidFill>
                  <a:schemeClr val="accent6">
                    <a:lumMod val="50000"/>
                  </a:schemeClr>
                </a:solidFill>
                <a:latin typeface="Aptos Narrow"/>
              </a:rPr>
              <a:pPr/>
              <a:t>4705</a:t>
            </a:fld>
            <a:endParaRPr lang="en-IN" sz="3200" b="1">
              <a:solidFill>
                <a:schemeClr val="accent6">
                  <a:lumMod val="50000"/>
                </a:schemeClr>
              </a:solidFill>
            </a:endParaRPr>
          </a:p>
        </xdr:txBody>
      </xdr:sp>
    </xdr:grpSp>
    <xdr:clientData/>
  </xdr:twoCellAnchor>
  <xdr:twoCellAnchor>
    <xdr:from>
      <xdr:col>11</xdr:col>
      <xdr:colOff>372953</xdr:colOff>
      <xdr:row>5</xdr:row>
      <xdr:rowOff>114854</xdr:rowOff>
    </xdr:from>
    <xdr:to>
      <xdr:col>15</xdr:col>
      <xdr:colOff>197237</xdr:colOff>
      <xdr:row>10</xdr:row>
      <xdr:rowOff>17133</xdr:rowOff>
    </xdr:to>
    <xdr:grpSp>
      <xdr:nvGrpSpPr>
        <xdr:cNvPr id="24" name="Group 23">
          <a:extLst>
            <a:ext uri="{FF2B5EF4-FFF2-40B4-BE49-F238E27FC236}">
              <a16:creationId xmlns:a16="http://schemas.microsoft.com/office/drawing/2014/main" id="{FF3D104D-49DE-AB3F-F715-5B2336C01DBD}"/>
            </a:ext>
          </a:extLst>
        </xdr:cNvPr>
        <xdr:cNvGrpSpPr/>
      </xdr:nvGrpSpPr>
      <xdr:grpSpPr>
        <a:xfrm>
          <a:off x="7096975" y="1035953"/>
          <a:ext cx="2269383" cy="823378"/>
          <a:chOff x="0" y="993701"/>
          <a:chExt cx="2262684" cy="811763"/>
        </a:xfrm>
      </xdr:grpSpPr>
      <xdr:sp macro="" textlink="">
        <xdr:nvSpPr>
          <xdr:cNvPr id="25" name="Rectangle: Rounded Corners 24">
            <a:extLst>
              <a:ext uri="{FF2B5EF4-FFF2-40B4-BE49-F238E27FC236}">
                <a16:creationId xmlns:a16="http://schemas.microsoft.com/office/drawing/2014/main" id="{8BE508FB-19AD-6D3B-D54B-C861D98350EE}"/>
              </a:ext>
            </a:extLst>
          </xdr:cNvPr>
          <xdr:cNvSpPr/>
        </xdr:nvSpPr>
        <xdr:spPr>
          <a:xfrm>
            <a:off x="0" y="999906"/>
            <a:ext cx="2262684" cy="805558"/>
          </a:xfrm>
          <a:prstGeom prst="roundRect">
            <a:avLst>
              <a:gd name="adj" fmla="val 11378"/>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tiihihkkijojjjljll</a:t>
            </a:r>
          </a:p>
        </xdr:txBody>
      </xdr:sp>
      <xdr:sp macro="" textlink="">
        <xdr:nvSpPr>
          <xdr:cNvPr id="26" name="Rectangle: Rounded Corners 25">
            <a:extLst>
              <a:ext uri="{FF2B5EF4-FFF2-40B4-BE49-F238E27FC236}">
                <a16:creationId xmlns:a16="http://schemas.microsoft.com/office/drawing/2014/main" id="{2EC3ACFF-9340-59A1-0391-CD3DF38A3BE8}"/>
              </a:ext>
            </a:extLst>
          </xdr:cNvPr>
          <xdr:cNvSpPr/>
        </xdr:nvSpPr>
        <xdr:spPr>
          <a:xfrm>
            <a:off x="0" y="993701"/>
            <a:ext cx="603152" cy="805558"/>
          </a:xfrm>
          <a:prstGeom prst="roundRect">
            <a:avLst>
              <a:gd name="adj" fmla="val 17046"/>
            </a:avLst>
          </a:prstGeom>
          <a:solidFill>
            <a:schemeClr val="accent6">
              <a:lumMod val="50000"/>
            </a:schemeClr>
          </a:solidFill>
          <a:ln>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52A487CE-04B8-0EDA-C6EB-438A7D775249}"/>
              </a:ext>
            </a:extLst>
          </xdr:cNvPr>
          <xdr:cNvSpPr txBox="1"/>
        </xdr:nvSpPr>
        <xdr:spPr>
          <a:xfrm>
            <a:off x="741100" y="1071846"/>
            <a:ext cx="1075578" cy="17790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lumMod val="50000"/>
                  </a:schemeClr>
                </a:solidFill>
              </a:rPr>
              <a:t>PROFIT</a:t>
            </a:r>
          </a:p>
        </xdr:txBody>
      </xdr:sp>
      <xdr:sp macro="" textlink="SalesData!K6">
        <xdr:nvSpPr>
          <xdr:cNvPr id="28" name="TextBox 27">
            <a:extLst>
              <a:ext uri="{FF2B5EF4-FFF2-40B4-BE49-F238E27FC236}">
                <a16:creationId xmlns:a16="http://schemas.microsoft.com/office/drawing/2014/main" id="{AB269FE3-17CC-2DAB-9DC9-01896F619DDB}"/>
              </a:ext>
            </a:extLst>
          </xdr:cNvPr>
          <xdr:cNvSpPr txBox="1"/>
        </xdr:nvSpPr>
        <xdr:spPr>
          <a:xfrm>
            <a:off x="666019" y="1289725"/>
            <a:ext cx="1536405" cy="352263"/>
          </a:xfrm>
          <a:prstGeom prst="rect">
            <a:avLst/>
          </a:prstGeom>
          <a:solidFill>
            <a:schemeClr val="lt1"/>
          </a:solidFill>
          <a:ln w="9525" cmpd="sng">
            <a:solidFill>
              <a:schemeClr val="bg1"/>
            </a:solidFill>
          </a:ln>
          <a:effectLst>
            <a:outerShdw blurRad="50800"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C3FF1A-B836-448D-8BC0-DDCE52EEBB3A}" type="TxLink">
              <a:rPr lang="en-US" sz="1800" b="1" i="0" u="none" strike="noStrike">
                <a:ln>
                  <a:noFill/>
                </a:ln>
                <a:solidFill>
                  <a:schemeClr val="accent6">
                    <a:lumMod val="50000"/>
                  </a:schemeClr>
                </a:solidFill>
                <a:latin typeface="Aptos Narrow"/>
              </a:rPr>
              <a:pPr/>
              <a:t> 38,34,400 </a:t>
            </a:fld>
            <a:endParaRPr lang="en-IN" sz="3200" b="1">
              <a:ln>
                <a:noFill/>
              </a:ln>
              <a:solidFill>
                <a:schemeClr val="accent6">
                  <a:lumMod val="50000"/>
                </a:schemeClr>
              </a:solidFill>
            </a:endParaRPr>
          </a:p>
        </xdr:txBody>
      </xdr:sp>
    </xdr:grpSp>
    <xdr:clientData/>
  </xdr:twoCellAnchor>
  <xdr:twoCellAnchor editAs="oneCell">
    <xdr:from>
      <xdr:col>4</xdr:col>
      <xdr:colOff>60614</xdr:colOff>
      <xdr:row>6</xdr:row>
      <xdr:rowOff>164524</xdr:rowOff>
    </xdr:from>
    <xdr:to>
      <xdr:col>4</xdr:col>
      <xdr:colOff>420614</xdr:colOff>
      <xdr:row>8</xdr:row>
      <xdr:rowOff>160842</xdr:rowOff>
    </xdr:to>
    <xdr:pic>
      <xdr:nvPicPr>
        <xdr:cNvPr id="30" name="Graphic 29" descr="Coins with solid fill">
          <a:extLst>
            <a:ext uri="{FF2B5EF4-FFF2-40B4-BE49-F238E27FC236}">
              <a16:creationId xmlns:a16="http://schemas.microsoft.com/office/drawing/2014/main" id="{93A7C8AF-4F55-2CA2-74F3-BEAA4C443B6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85159" y="1255569"/>
          <a:ext cx="360000" cy="360000"/>
        </a:xfrm>
        <a:prstGeom prst="rect">
          <a:avLst/>
        </a:prstGeom>
      </xdr:spPr>
    </xdr:pic>
    <xdr:clientData/>
  </xdr:twoCellAnchor>
  <xdr:twoCellAnchor editAs="oneCell">
    <xdr:from>
      <xdr:col>7</xdr:col>
      <xdr:colOff>571499</xdr:colOff>
      <xdr:row>6</xdr:row>
      <xdr:rowOff>155865</xdr:rowOff>
    </xdr:from>
    <xdr:to>
      <xdr:col>8</xdr:col>
      <xdr:colOff>325363</xdr:colOff>
      <xdr:row>8</xdr:row>
      <xdr:rowOff>152183</xdr:rowOff>
    </xdr:to>
    <xdr:pic>
      <xdr:nvPicPr>
        <xdr:cNvPr id="32" name="Graphic 31" descr="Books on shelf with solid fill">
          <a:extLst>
            <a:ext uri="{FF2B5EF4-FFF2-40B4-BE49-F238E27FC236}">
              <a16:creationId xmlns:a16="http://schemas.microsoft.com/office/drawing/2014/main" id="{1ACD1CFE-7C50-DAAC-2DA2-40E74B3C046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814454" y="1246910"/>
          <a:ext cx="360000" cy="360000"/>
        </a:xfrm>
        <a:prstGeom prst="rect">
          <a:avLst/>
        </a:prstGeom>
      </xdr:spPr>
    </xdr:pic>
    <xdr:clientData/>
  </xdr:twoCellAnchor>
  <xdr:twoCellAnchor editAs="oneCell">
    <xdr:from>
      <xdr:col>11</xdr:col>
      <xdr:colOff>493568</xdr:colOff>
      <xdr:row>6</xdr:row>
      <xdr:rowOff>155864</xdr:rowOff>
    </xdr:from>
    <xdr:to>
      <xdr:col>12</xdr:col>
      <xdr:colOff>247432</xdr:colOff>
      <xdr:row>8</xdr:row>
      <xdr:rowOff>152182</xdr:rowOff>
    </xdr:to>
    <xdr:pic>
      <xdr:nvPicPr>
        <xdr:cNvPr id="34" name="Graphic 33" descr="Upward trend with solid fill">
          <a:extLst>
            <a:ext uri="{FF2B5EF4-FFF2-40B4-BE49-F238E27FC236}">
              <a16:creationId xmlns:a16="http://schemas.microsoft.com/office/drawing/2014/main" id="{BE5A402B-2D69-2C09-64A4-412F90091D4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161068" y="1246909"/>
          <a:ext cx="360000" cy="360000"/>
        </a:xfrm>
        <a:prstGeom prst="rect">
          <a:avLst/>
        </a:prstGeom>
      </xdr:spPr>
    </xdr:pic>
    <xdr:clientData/>
  </xdr:twoCellAnchor>
  <xdr:twoCellAnchor editAs="oneCell">
    <xdr:from>
      <xdr:col>0</xdr:col>
      <xdr:colOff>103909</xdr:colOff>
      <xdr:row>6</xdr:row>
      <xdr:rowOff>103909</xdr:rowOff>
    </xdr:from>
    <xdr:to>
      <xdr:col>0</xdr:col>
      <xdr:colOff>463909</xdr:colOff>
      <xdr:row>8</xdr:row>
      <xdr:rowOff>100227</xdr:rowOff>
    </xdr:to>
    <xdr:pic>
      <xdr:nvPicPr>
        <xdr:cNvPr id="36" name="Graphic 35" descr="Money with solid fill">
          <a:extLst>
            <a:ext uri="{FF2B5EF4-FFF2-40B4-BE49-F238E27FC236}">
              <a16:creationId xmlns:a16="http://schemas.microsoft.com/office/drawing/2014/main" id="{E769670F-56AF-489C-1B63-956A371F6E4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3909" y="1194954"/>
          <a:ext cx="360000" cy="360000"/>
        </a:xfrm>
        <a:prstGeom prst="rect">
          <a:avLst/>
        </a:prstGeom>
      </xdr:spPr>
    </xdr:pic>
    <xdr:clientData/>
  </xdr:twoCellAnchor>
  <xdr:twoCellAnchor>
    <xdr:from>
      <xdr:col>7</xdr:col>
      <xdr:colOff>7185</xdr:colOff>
      <xdr:row>0</xdr:row>
      <xdr:rowOff>159549</xdr:rowOff>
    </xdr:from>
    <xdr:to>
      <xdr:col>17</xdr:col>
      <xdr:colOff>589187</xdr:colOff>
      <xdr:row>3</xdr:row>
      <xdr:rowOff>124912</xdr:rowOff>
    </xdr:to>
    <xdr:sp macro="" textlink="">
      <xdr:nvSpPr>
        <xdr:cNvPr id="37" name="TextBox 36">
          <a:extLst>
            <a:ext uri="{FF2B5EF4-FFF2-40B4-BE49-F238E27FC236}">
              <a16:creationId xmlns:a16="http://schemas.microsoft.com/office/drawing/2014/main" id="{49822C63-628B-154C-A40F-A8EB1C3D75B8}"/>
            </a:ext>
          </a:extLst>
        </xdr:cNvPr>
        <xdr:cNvSpPr txBox="1"/>
      </xdr:nvSpPr>
      <xdr:spPr>
        <a:xfrm>
          <a:off x="4263036" y="159549"/>
          <a:ext cx="6661789" cy="52470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accent6">
                  <a:lumMod val="50000"/>
                </a:schemeClr>
              </a:solidFill>
            </a:rPr>
            <a:t>SALES DASHBORAD - 2026</a:t>
          </a:r>
        </a:p>
      </xdr:txBody>
    </xdr:sp>
    <xdr:clientData/>
  </xdr:twoCellAnchor>
  <xdr:twoCellAnchor editAs="oneCell">
    <xdr:from>
      <xdr:col>15</xdr:col>
      <xdr:colOff>332362</xdr:colOff>
      <xdr:row>6</xdr:row>
      <xdr:rowOff>1</xdr:rowOff>
    </xdr:from>
    <xdr:to>
      <xdr:col>20</xdr:col>
      <xdr:colOff>0</xdr:colOff>
      <xdr:row>9</xdr:row>
      <xdr:rowOff>154023</xdr:rowOff>
    </xdr:to>
    <mc:AlternateContent xmlns:mc="http://schemas.openxmlformats.org/markup-compatibility/2006" xmlns:a14="http://schemas.microsoft.com/office/drawing/2010/main">
      <mc:Choice Requires="a14">
        <xdr:graphicFrame macro="">
          <xdr:nvGraphicFramePr>
            <xdr:cNvPr id="38" name="Region 1">
              <a:extLst>
                <a:ext uri="{FF2B5EF4-FFF2-40B4-BE49-F238E27FC236}">
                  <a16:creationId xmlns:a16="http://schemas.microsoft.com/office/drawing/2014/main" id="{44B2437F-6DBD-4A57-A80C-010FC06219E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501483" y="1105320"/>
              <a:ext cx="2724012" cy="706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89169</xdr:colOff>
      <xdr:row>24</xdr:row>
      <xdr:rowOff>6385</xdr:rowOff>
    </xdr:from>
    <xdr:to>
      <xdr:col>3</xdr:col>
      <xdr:colOff>94033</xdr:colOff>
      <xdr:row>42</xdr:row>
      <xdr:rowOff>97692</xdr:rowOff>
    </xdr:to>
    <mc:AlternateContent xmlns:mc="http://schemas.openxmlformats.org/markup-compatibility/2006" xmlns:a14="http://schemas.microsoft.com/office/drawing/2010/main">
      <mc:Choice Requires="a14">
        <xdr:graphicFrame macro="">
          <xdr:nvGraphicFramePr>
            <xdr:cNvPr id="39" name="Sales Person 1">
              <a:extLst>
                <a:ext uri="{FF2B5EF4-FFF2-40B4-BE49-F238E27FC236}">
                  <a16:creationId xmlns:a16="http://schemas.microsoft.com/office/drawing/2014/main" id="{72A73788-252E-4784-A051-78341D0D0460}"/>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89169" y="4427660"/>
              <a:ext cx="1838688" cy="3407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77165</xdr:colOff>
      <xdr:row>10</xdr:row>
      <xdr:rowOff>113491</xdr:rowOff>
    </xdr:from>
    <xdr:to>
      <xdr:col>3</xdr:col>
      <xdr:colOff>82029</xdr:colOff>
      <xdr:row>23</xdr:row>
      <xdr:rowOff>113490</xdr:rowOff>
    </xdr:to>
    <mc:AlternateContent xmlns:mc="http://schemas.openxmlformats.org/markup-compatibility/2006" xmlns:a14="http://schemas.microsoft.com/office/drawing/2010/main">
      <mc:Choice Requires="a14">
        <xdr:graphicFrame macro="">
          <xdr:nvGraphicFramePr>
            <xdr:cNvPr id="40" name="Product 1">
              <a:extLst>
                <a:ext uri="{FF2B5EF4-FFF2-40B4-BE49-F238E27FC236}">
                  <a16:creationId xmlns:a16="http://schemas.microsoft.com/office/drawing/2014/main" id="{C79CBE0B-205F-432E-8F1C-1C8671ECA13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7165" y="1955689"/>
              <a:ext cx="1838688" cy="2394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241561</xdr:colOff>
      <xdr:row>10</xdr:row>
      <xdr:rowOff>163526</xdr:rowOff>
    </xdr:from>
    <xdr:to>
      <xdr:col>12</xdr:col>
      <xdr:colOff>156307</xdr:colOff>
      <xdr:row>26</xdr:row>
      <xdr:rowOff>97691</xdr:rowOff>
    </xdr:to>
    <xdr:sp macro="" textlink="">
      <xdr:nvSpPr>
        <xdr:cNvPr id="41" name="Rectangle: Rounded Corners 40">
          <a:extLst>
            <a:ext uri="{FF2B5EF4-FFF2-40B4-BE49-F238E27FC236}">
              <a16:creationId xmlns:a16="http://schemas.microsoft.com/office/drawing/2014/main" id="{9B691799-7AAB-A46F-E660-C454F61A4817}"/>
            </a:ext>
          </a:extLst>
        </xdr:cNvPr>
        <xdr:cNvSpPr/>
      </xdr:nvSpPr>
      <xdr:spPr>
        <a:xfrm>
          <a:off x="2058638" y="2019680"/>
          <a:ext cx="5365977" cy="2904011"/>
        </a:xfrm>
        <a:prstGeom prst="roundRect">
          <a:avLst>
            <a:gd name="adj" fmla="val 11378"/>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408645</xdr:colOff>
      <xdr:row>10</xdr:row>
      <xdr:rowOff>175660</xdr:rowOff>
    </xdr:from>
    <xdr:to>
      <xdr:col>10</xdr:col>
      <xdr:colOff>120453</xdr:colOff>
      <xdr:row>13</xdr:row>
      <xdr:rowOff>0</xdr:rowOff>
    </xdr:to>
    <xdr:sp macro="" textlink="">
      <xdr:nvSpPr>
        <xdr:cNvPr id="42" name="TextBox 41">
          <a:extLst>
            <a:ext uri="{FF2B5EF4-FFF2-40B4-BE49-F238E27FC236}">
              <a16:creationId xmlns:a16="http://schemas.microsoft.com/office/drawing/2014/main" id="{4EFCFD47-EEC6-4167-3795-793C398A188B}"/>
            </a:ext>
          </a:extLst>
        </xdr:cNvPr>
        <xdr:cNvSpPr txBox="1"/>
      </xdr:nvSpPr>
      <xdr:spPr>
        <a:xfrm>
          <a:off x="2225722" y="2031814"/>
          <a:ext cx="3951654" cy="381186"/>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rPr>
            <a:t>Unit</a:t>
          </a:r>
          <a:r>
            <a:rPr lang="en-IN" sz="1400" b="1" baseline="0">
              <a:solidFill>
                <a:schemeClr val="accent6">
                  <a:lumMod val="50000"/>
                </a:schemeClr>
              </a:solidFill>
            </a:rPr>
            <a:t> Sold By Product</a:t>
          </a:r>
          <a:endParaRPr lang="en-IN" sz="1400" b="1">
            <a:solidFill>
              <a:schemeClr val="accent6">
                <a:lumMod val="50000"/>
              </a:schemeClr>
            </a:solidFill>
          </a:endParaRPr>
        </a:p>
      </xdr:txBody>
    </xdr:sp>
    <xdr:clientData/>
  </xdr:twoCellAnchor>
  <xdr:twoCellAnchor>
    <xdr:from>
      <xdr:col>3</xdr:col>
      <xdr:colOff>420077</xdr:colOff>
      <xdr:row>11</xdr:row>
      <xdr:rowOff>87924</xdr:rowOff>
    </xdr:from>
    <xdr:to>
      <xdr:col>12</xdr:col>
      <xdr:colOff>166077</xdr:colOff>
      <xdr:row>25</xdr:row>
      <xdr:rowOff>153688</xdr:rowOff>
    </xdr:to>
    <xdr:graphicFrame macro="">
      <xdr:nvGraphicFramePr>
        <xdr:cNvPr id="43" name="Chart 42">
          <a:extLst>
            <a:ext uri="{FF2B5EF4-FFF2-40B4-BE49-F238E27FC236}">
              <a16:creationId xmlns:a16="http://schemas.microsoft.com/office/drawing/2014/main" id="{EAEB7B7E-5C92-4B84-8CAB-1F2A4C3C9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276730</xdr:colOff>
      <xdr:row>10</xdr:row>
      <xdr:rowOff>91234</xdr:rowOff>
    </xdr:from>
    <xdr:to>
      <xdr:col>19</xdr:col>
      <xdr:colOff>556846</xdr:colOff>
      <xdr:row>26</xdr:row>
      <xdr:rowOff>0</xdr:rowOff>
    </xdr:to>
    <xdr:sp macro="" textlink="">
      <xdr:nvSpPr>
        <xdr:cNvPr id="44" name="Rectangle: Rounded Corners 43">
          <a:extLst>
            <a:ext uri="{FF2B5EF4-FFF2-40B4-BE49-F238E27FC236}">
              <a16:creationId xmlns:a16="http://schemas.microsoft.com/office/drawing/2014/main" id="{C6DE7583-D05F-2D37-DF12-4A2E1A6E228D}"/>
            </a:ext>
          </a:extLst>
        </xdr:cNvPr>
        <xdr:cNvSpPr/>
      </xdr:nvSpPr>
      <xdr:spPr>
        <a:xfrm>
          <a:off x="7545038" y="1947388"/>
          <a:ext cx="4519962" cy="2878612"/>
        </a:xfrm>
        <a:prstGeom prst="roundRect">
          <a:avLst>
            <a:gd name="adj" fmla="val 11378"/>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253285</xdr:colOff>
      <xdr:row>27</xdr:row>
      <xdr:rowOff>38479</xdr:rowOff>
    </xdr:from>
    <xdr:to>
      <xdr:col>11</xdr:col>
      <xdr:colOff>488463</xdr:colOff>
      <xdr:row>43</xdr:row>
      <xdr:rowOff>87921</xdr:rowOff>
    </xdr:to>
    <xdr:grpSp>
      <xdr:nvGrpSpPr>
        <xdr:cNvPr id="51" name="Group 50">
          <a:extLst>
            <a:ext uri="{FF2B5EF4-FFF2-40B4-BE49-F238E27FC236}">
              <a16:creationId xmlns:a16="http://schemas.microsoft.com/office/drawing/2014/main" id="{05F714FE-15E0-8EC8-8E2B-821A08AE2F7D}"/>
            </a:ext>
          </a:extLst>
        </xdr:cNvPr>
        <xdr:cNvGrpSpPr/>
      </xdr:nvGrpSpPr>
      <xdr:grpSpPr>
        <a:xfrm>
          <a:off x="2087109" y="5012413"/>
          <a:ext cx="5125376" cy="2996959"/>
          <a:chOff x="2070362" y="5479941"/>
          <a:chExt cx="6005862" cy="3675782"/>
        </a:xfrm>
      </xdr:grpSpPr>
      <xdr:sp macro="" textlink="">
        <xdr:nvSpPr>
          <xdr:cNvPr id="45" name="Rectangle: Rounded Corners 44">
            <a:extLst>
              <a:ext uri="{FF2B5EF4-FFF2-40B4-BE49-F238E27FC236}">
                <a16:creationId xmlns:a16="http://schemas.microsoft.com/office/drawing/2014/main" id="{DA6178A2-CC31-9BF1-1170-1F7F32796DC0}"/>
              </a:ext>
            </a:extLst>
          </xdr:cNvPr>
          <xdr:cNvSpPr/>
        </xdr:nvSpPr>
        <xdr:spPr>
          <a:xfrm>
            <a:off x="2070362" y="5479941"/>
            <a:ext cx="6005862" cy="3675782"/>
          </a:xfrm>
          <a:prstGeom prst="roundRect">
            <a:avLst>
              <a:gd name="adj" fmla="val 11378"/>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TextBox 46">
            <a:extLst>
              <a:ext uri="{FF2B5EF4-FFF2-40B4-BE49-F238E27FC236}">
                <a16:creationId xmlns:a16="http://schemas.microsoft.com/office/drawing/2014/main" id="{47DD8411-4DCE-D22F-E682-035CD4D6F833}"/>
              </a:ext>
            </a:extLst>
          </xdr:cNvPr>
          <xdr:cNvSpPr txBox="1"/>
        </xdr:nvSpPr>
        <xdr:spPr>
          <a:xfrm>
            <a:off x="2339598" y="5501415"/>
            <a:ext cx="3951654" cy="381186"/>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rPr>
              <a:t>Total</a:t>
            </a:r>
            <a:r>
              <a:rPr lang="en-IN" sz="1400" b="1" baseline="0">
                <a:solidFill>
                  <a:schemeClr val="accent6">
                    <a:lumMod val="50000"/>
                  </a:schemeClr>
                </a:solidFill>
              </a:rPr>
              <a:t> Sales By Product</a:t>
            </a:r>
            <a:endParaRPr lang="en-IN" sz="1400" b="1">
              <a:solidFill>
                <a:schemeClr val="accent6">
                  <a:lumMod val="50000"/>
                </a:schemeClr>
              </a:solidFill>
            </a:endParaRPr>
          </a:p>
        </xdr:txBody>
      </xdr:sp>
    </xdr:grpSp>
    <xdr:clientData/>
  </xdr:twoCellAnchor>
  <xdr:twoCellAnchor>
    <xdr:from>
      <xdr:col>12</xdr:col>
      <xdr:colOff>494612</xdr:colOff>
      <xdr:row>10</xdr:row>
      <xdr:rowOff>154169</xdr:rowOff>
    </xdr:from>
    <xdr:to>
      <xdr:col>19</xdr:col>
      <xdr:colOff>206420</xdr:colOff>
      <xdr:row>12</xdr:row>
      <xdr:rowOff>164124</xdr:rowOff>
    </xdr:to>
    <xdr:sp macro="" textlink="">
      <xdr:nvSpPr>
        <xdr:cNvPr id="48" name="TextBox 47">
          <a:extLst>
            <a:ext uri="{FF2B5EF4-FFF2-40B4-BE49-F238E27FC236}">
              <a16:creationId xmlns:a16="http://schemas.microsoft.com/office/drawing/2014/main" id="{6D97B86D-EB3A-E9AD-8E76-28AF3CFF5CAC}"/>
            </a:ext>
          </a:extLst>
        </xdr:cNvPr>
        <xdr:cNvSpPr txBox="1"/>
      </xdr:nvSpPr>
      <xdr:spPr>
        <a:xfrm>
          <a:off x="7762920" y="2010323"/>
          <a:ext cx="3951654" cy="381186"/>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rPr>
            <a:t>Total</a:t>
          </a:r>
          <a:r>
            <a:rPr lang="en-IN" sz="1400" b="1" baseline="0">
              <a:solidFill>
                <a:schemeClr val="accent6">
                  <a:lumMod val="50000"/>
                </a:schemeClr>
              </a:solidFill>
            </a:rPr>
            <a:t> Sales By Region</a:t>
          </a:r>
          <a:endParaRPr lang="en-IN" sz="1400" b="1">
            <a:solidFill>
              <a:schemeClr val="accent6">
                <a:lumMod val="50000"/>
              </a:schemeClr>
            </a:solidFill>
          </a:endParaRPr>
        </a:p>
      </xdr:txBody>
    </xdr:sp>
    <xdr:clientData/>
  </xdr:twoCellAnchor>
  <xdr:twoCellAnchor>
    <xdr:from>
      <xdr:col>11</xdr:col>
      <xdr:colOff>584026</xdr:colOff>
      <xdr:row>26</xdr:row>
      <xdr:rowOff>91249</xdr:rowOff>
    </xdr:from>
    <xdr:to>
      <xdr:col>20</xdr:col>
      <xdr:colOff>178342</xdr:colOff>
      <xdr:row>44</xdr:row>
      <xdr:rowOff>24319</xdr:rowOff>
    </xdr:to>
    <xdr:grpSp>
      <xdr:nvGrpSpPr>
        <xdr:cNvPr id="52" name="Group 51">
          <a:extLst>
            <a:ext uri="{FF2B5EF4-FFF2-40B4-BE49-F238E27FC236}">
              <a16:creationId xmlns:a16="http://schemas.microsoft.com/office/drawing/2014/main" id="{BA0F81E9-CED0-F59C-A56B-7D298CACD364}"/>
            </a:ext>
          </a:extLst>
        </xdr:cNvPr>
        <xdr:cNvGrpSpPr/>
      </xdr:nvGrpSpPr>
      <xdr:grpSpPr>
        <a:xfrm>
          <a:off x="7308048" y="4880963"/>
          <a:ext cx="5095789" cy="3249026"/>
          <a:chOff x="2070362" y="5479941"/>
          <a:chExt cx="6005862" cy="3675782"/>
        </a:xfrm>
      </xdr:grpSpPr>
      <xdr:sp macro="" textlink="">
        <xdr:nvSpPr>
          <xdr:cNvPr id="53" name="Rectangle: Rounded Corners 52">
            <a:extLst>
              <a:ext uri="{FF2B5EF4-FFF2-40B4-BE49-F238E27FC236}">
                <a16:creationId xmlns:a16="http://schemas.microsoft.com/office/drawing/2014/main" id="{6F326867-37A4-C096-5FD2-2261F9211DEE}"/>
              </a:ext>
            </a:extLst>
          </xdr:cNvPr>
          <xdr:cNvSpPr/>
        </xdr:nvSpPr>
        <xdr:spPr>
          <a:xfrm>
            <a:off x="2070362" y="5479941"/>
            <a:ext cx="6005862" cy="3675782"/>
          </a:xfrm>
          <a:prstGeom prst="roundRect">
            <a:avLst>
              <a:gd name="adj" fmla="val 11378"/>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2438FB74-A7BC-19A7-6A16-ED8886B14561}"/>
              </a:ext>
            </a:extLst>
          </xdr:cNvPr>
          <xdr:cNvSpPr txBox="1"/>
        </xdr:nvSpPr>
        <xdr:spPr>
          <a:xfrm>
            <a:off x="2279766" y="5512251"/>
            <a:ext cx="3951654" cy="381186"/>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rPr>
              <a:t>Total</a:t>
            </a:r>
            <a:r>
              <a:rPr lang="en-IN" sz="1400" b="1" baseline="0">
                <a:solidFill>
                  <a:schemeClr val="accent6">
                    <a:lumMod val="50000"/>
                  </a:schemeClr>
                </a:solidFill>
              </a:rPr>
              <a:t> Sales by Sales Person</a:t>
            </a:r>
            <a:endParaRPr lang="en-IN" sz="1400" b="1">
              <a:solidFill>
                <a:schemeClr val="accent6">
                  <a:lumMod val="50000"/>
                </a:schemeClr>
              </a:solidFill>
            </a:endParaRPr>
          </a:p>
        </xdr:txBody>
      </xdr:sp>
    </xdr:grpSp>
    <xdr:clientData/>
  </xdr:twoCellAnchor>
  <xdr:twoCellAnchor>
    <xdr:from>
      <xdr:col>12</xdr:col>
      <xdr:colOff>172230</xdr:colOff>
      <xdr:row>11</xdr:row>
      <xdr:rowOff>56477</xdr:rowOff>
    </xdr:from>
    <xdr:to>
      <xdr:col>19</xdr:col>
      <xdr:colOff>468924</xdr:colOff>
      <xdr:row>25</xdr:row>
      <xdr:rowOff>173900</xdr:rowOff>
    </xdr:to>
    <xdr:graphicFrame macro="">
      <xdr:nvGraphicFramePr>
        <xdr:cNvPr id="55" name="Chart 54">
          <a:extLst>
            <a:ext uri="{FF2B5EF4-FFF2-40B4-BE49-F238E27FC236}">
              <a16:creationId xmlns:a16="http://schemas.microsoft.com/office/drawing/2014/main" id="{F44101E8-31FF-4683-B2E0-C8657E7AA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302846</xdr:colOff>
      <xdr:row>28</xdr:row>
      <xdr:rowOff>103176</xdr:rowOff>
    </xdr:from>
    <xdr:to>
      <xdr:col>11</xdr:col>
      <xdr:colOff>400540</xdr:colOff>
      <xdr:row>42</xdr:row>
      <xdr:rowOff>97692</xdr:rowOff>
    </xdr:to>
    <xdr:graphicFrame macro="">
      <xdr:nvGraphicFramePr>
        <xdr:cNvPr id="56" name="Chart 55">
          <a:extLst>
            <a:ext uri="{FF2B5EF4-FFF2-40B4-BE49-F238E27FC236}">
              <a16:creationId xmlns:a16="http://schemas.microsoft.com/office/drawing/2014/main" id="{1BC925F7-6B32-4DB6-8C82-3FC3D913F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20047</xdr:colOff>
      <xdr:row>28</xdr:row>
      <xdr:rowOff>91886</xdr:rowOff>
    </xdr:from>
    <xdr:to>
      <xdr:col>20</xdr:col>
      <xdr:colOff>105384</xdr:colOff>
      <xdr:row>43</xdr:row>
      <xdr:rowOff>56745</xdr:rowOff>
    </xdr:to>
    <xdr:graphicFrame macro="">
      <xdr:nvGraphicFramePr>
        <xdr:cNvPr id="57" name="Chart 56">
          <a:extLst>
            <a:ext uri="{FF2B5EF4-FFF2-40B4-BE49-F238E27FC236}">
              <a16:creationId xmlns:a16="http://schemas.microsoft.com/office/drawing/2014/main" id="{0F2B11E1-78F6-458F-8A89-19A42D778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ana Rajaram" refreshedDate="46180.765860648149" createdVersion="8" refreshedVersion="8" minRefreshableVersion="3" recordCount="50" xr:uid="{090578B4-4665-4FEC-9655-D65BB4DE7817}">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914732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n v="84"/>
    <n v="6000"/>
    <n v="4000"/>
    <n v="504000"/>
    <n v="168000"/>
  </r>
  <r>
    <d v="2021-09-07T00:00:00"/>
    <x v="1"/>
    <x v="1"/>
    <x v="1"/>
    <n v="128"/>
    <n v="3500"/>
    <n v="2500"/>
    <n v="448000"/>
    <n v="128000"/>
  </r>
  <r>
    <d v="2021-02-03T00:00:00"/>
    <x v="2"/>
    <x v="2"/>
    <x v="2"/>
    <n v="136"/>
    <n v="1200"/>
    <n v="800"/>
    <n v="163200"/>
    <n v="54400"/>
  </r>
  <r>
    <d v="2020-09-11T00:00:00"/>
    <x v="3"/>
    <x v="3"/>
    <x v="3"/>
    <n v="91"/>
    <n v="1000"/>
    <n v="700"/>
    <n v="91000"/>
    <n v="27300"/>
  </r>
  <r>
    <d v="2021-09-23T00:00:00"/>
    <x v="4"/>
    <x v="0"/>
    <x v="4"/>
    <n v="110"/>
    <n v="4000"/>
    <n v="3000"/>
    <n v="440000"/>
    <n v="110000"/>
  </r>
  <r>
    <d v="2020-10-01T00:00:00"/>
    <x v="5"/>
    <x v="1"/>
    <x v="2"/>
    <n v="51"/>
    <n v="1200"/>
    <n v="800"/>
    <n v="61200"/>
    <n v="20400"/>
  </r>
  <r>
    <d v="2021-08-05T00:00:00"/>
    <x v="6"/>
    <x v="3"/>
    <x v="3"/>
    <n v="78"/>
    <n v="1000"/>
    <n v="700"/>
    <n v="78000"/>
    <n v="23400"/>
  </r>
  <r>
    <d v="2020-11-06T00:00:00"/>
    <x v="7"/>
    <x v="2"/>
    <x v="0"/>
    <n v="146"/>
    <n v="6000"/>
    <n v="4000"/>
    <n v="876000"/>
    <n v="292000"/>
  </r>
  <r>
    <d v="2021-01-27T00:00:00"/>
    <x v="8"/>
    <x v="0"/>
    <x v="5"/>
    <n v="101"/>
    <n v="600"/>
    <n v="400"/>
    <n v="60600"/>
    <n v="20200"/>
  </r>
  <r>
    <d v="2021-09-03T00:00:00"/>
    <x v="9"/>
    <x v="2"/>
    <x v="0"/>
    <n v="52"/>
    <n v="6000"/>
    <n v="4000"/>
    <n v="312000"/>
    <n v="104000"/>
  </r>
  <r>
    <d v="2021-09-30T00:00:00"/>
    <x v="9"/>
    <x v="1"/>
    <x v="2"/>
    <n v="55"/>
    <n v="1200"/>
    <n v="800"/>
    <n v="66000"/>
    <n v="22000"/>
  </r>
  <r>
    <d v="2020-09-10T00:00:00"/>
    <x v="9"/>
    <x v="2"/>
    <x v="3"/>
    <n v="137"/>
    <n v="1000"/>
    <n v="700"/>
    <n v="137000"/>
    <n v="41100"/>
  </r>
  <r>
    <d v="2021-07-27T00:00:00"/>
    <x v="7"/>
    <x v="2"/>
    <x v="1"/>
    <n v="96"/>
    <n v="3500"/>
    <n v="2500"/>
    <n v="336000"/>
    <n v="96000"/>
  </r>
  <r>
    <d v="2020-10-09T00:00:00"/>
    <x v="8"/>
    <x v="1"/>
    <x v="4"/>
    <n v="52"/>
    <n v="4000"/>
    <n v="3000"/>
    <n v="208000"/>
    <n v="52000"/>
  </r>
  <r>
    <d v="2021-04-06T00:00:00"/>
    <x v="3"/>
    <x v="0"/>
    <x v="1"/>
    <n v="76"/>
    <n v="3500"/>
    <n v="2500"/>
    <n v="266000"/>
    <n v="76000"/>
  </r>
  <r>
    <d v="2021-06-15T00:00:00"/>
    <x v="1"/>
    <x v="3"/>
    <x v="4"/>
    <n v="145"/>
    <n v="4000"/>
    <n v="3000"/>
    <n v="580000"/>
    <n v="145000"/>
  </r>
  <r>
    <d v="2020-09-09T00:00:00"/>
    <x v="0"/>
    <x v="2"/>
    <x v="5"/>
    <n v="83"/>
    <n v="600"/>
    <n v="400"/>
    <n v="49800"/>
    <n v="16600"/>
  </r>
  <r>
    <d v="2021-08-13T00:00:00"/>
    <x v="4"/>
    <x v="2"/>
    <x v="3"/>
    <n v="91"/>
    <n v="1000"/>
    <n v="700"/>
    <n v="91000"/>
    <n v="27300"/>
  </r>
  <r>
    <d v="2020-08-27T00:00:00"/>
    <x v="5"/>
    <x v="0"/>
    <x v="6"/>
    <n v="108"/>
    <n v="10000"/>
    <n v="7000"/>
    <n v="1080000"/>
    <n v="3240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r>
    <d v="2021-12-02T00:00:00"/>
    <x v="9"/>
    <x v="3"/>
    <x v="3"/>
    <n v="55"/>
    <n v="1000"/>
    <n v="700"/>
    <n v="55000"/>
    <n v="16500"/>
  </r>
  <r>
    <d v="2021-08-30T00:00:00"/>
    <x v="5"/>
    <x v="1"/>
    <x v="4"/>
    <n v="93"/>
    <n v="4000"/>
    <n v="3000"/>
    <n v="372000"/>
    <n v="93000"/>
  </r>
  <r>
    <d v="2020-05-20T00:00:00"/>
    <x v="2"/>
    <x v="2"/>
    <x v="5"/>
    <n v="143"/>
    <n v="600"/>
    <n v="400"/>
    <n v="85800"/>
    <n v="28600"/>
  </r>
  <r>
    <d v="2021-09-13T00:00:00"/>
    <x v="6"/>
    <x v="0"/>
    <x v="1"/>
    <n v="143"/>
    <n v="3500"/>
    <n v="2500"/>
    <n v="500500"/>
    <n v="143000"/>
  </r>
  <r>
    <d v="2021-10-27T00:00:00"/>
    <x v="8"/>
    <x v="3"/>
    <x v="5"/>
    <n v="99"/>
    <n v="600"/>
    <n v="400"/>
    <n v="59400"/>
    <n v="19800"/>
  </r>
  <r>
    <d v="2020-12-22T00:00:00"/>
    <x v="3"/>
    <x v="0"/>
    <x v="3"/>
    <n v="120"/>
    <n v="1000"/>
    <n v="700"/>
    <n v="120000"/>
    <n v="36000"/>
  </r>
  <r>
    <d v="2021-07-28T00:00:00"/>
    <x v="1"/>
    <x v="2"/>
    <x v="1"/>
    <n v="66"/>
    <n v="3500"/>
    <n v="2500"/>
    <n v="231000"/>
    <n v="66000"/>
  </r>
  <r>
    <d v="2020-09-29T00:00:00"/>
    <x v="8"/>
    <x v="3"/>
    <x v="2"/>
    <n v="88"/>
    <n v="1200"/>
    <n v="800"/>
    <n v="105600"/>
    <n v="35200"/>
  </r>
  <r>
    <d v="2020-10-22T00:00:00"/>
    <x v="3"/>
    <x v="1"/>
    <x v="6"/>
    <n v="127"/>
    <n v="10000"/>
    <n v="7000"/>
    <n v="1270000"/>
    <n v="381000"/>
  </r>
  <r>
    <d v="2020-05-19T00:00:00"/>
    <x v="4"/>
    <x v="0"/>
    <x v="4"/>
    <n v="67"/>
    <n v="4000"/>
    <n v="3000"/>
    <n v="268000"/>
    <n v="67000"/>
  </r>
  <r>
    <d v="2021-12-06T00:00:00"/>
    <x v="1"/>
    <x v="1"/>
    <x v="2"/>
    <n v="67"/>
    <n v="1200"/>
    <n v="800"/>
    <n v="80400"/>
    <n v="26800"/>
  </r>
  <r>
    <d v="2020-08-26T00:00:00"/>
    <x v="9"/>
    <x v="2"/>
    <x v="3"/>
    <n v="149"/>
    <n v="1000"/>
    <n v="700"/>
    <n v="149000"/>
    <n v="44700"/>
  </r>
  <r>
    <d v="2021-07-01T00:00:00"/>
    <x v="4"/>
    <x v="3"/>
    <x v="5"/>
    <n v="104"/>
    <n v="600"/>
    <n v="400"/>
    <n v="62400"/>
    <n v="20800"/>
  </r>
  <r>
    <d v="2021-07-27T00:00:00"/>
    <x v="7"/>
    <x v="0"/>
    <x v="5"/>
    <n v="57"/>
    <n v="600"/>
    <n v="400"/>
    <n v="34200"/>
    <n v="11400"/>
  </r>
  <r>
    <d v="2020-10-05T00:00:00"/>
    <x v="2"/>
    <x v="1"/>
    <x v="5"/>
    <n v="90"/>
    <n v="600"/>
    <n v="400"/>
    <n v="54000"/>
    <n v="18000"/>
  </r>
  <r>
    <d v="2020-09-02T00:00:00"/>
    <x v="5"/>
    <x v="2"/>
    <x v="5"/>
    <n v="67"/>
    <n v="600"/>
    <n v="400"/>
    <n v="40200"/>
    <n v="13400"/>
  </r>
  <r>
    <d v="2021-09-02T00:00:00"/>
    <x v="0"/>
    <x v="3"/>
    <x v="4"/>
    <n v="127"/>
    <n v="4000"/>
    <n v="3000"/>
    <n v="508000"/>
    <n v="127000"/>
  </r>
  <r>
    <d v="2021-04-13T00:00:00"/>
    <x v="5"/>
    <x v="0"/>
    <x v="3"/>
    <n v="108"/>
    <n v="1000"/>
    <n v="700"/>
    <n v="108000"/>
    <n v="32400"/>
  </r>
  <r>
    <d v="2021-05-06T00:00:00"/>
    <x v="2"/>
    <x v="1"/>
    <x v="1"/>
    <n v="66"/>
    <n v="3500"/>
    <n v="2500"/>
    <n v="231000"/>
    <n v="66000"/>
  </r>
  <r>
    <d v="2021-01-15T00:00:00"/>
    <x v="0"/>
    <x v="3"/>
    <x v="0"/>
    <n v="78"/>
    <n v="6000"/>
    <n v="4000"/>
    <n v="468000"/>
    <n v="156000"/>
  </r>
  <r>
    <d v="2020-08-27T00:00:00"/>
    <x v="7"/>
    <x v="2"/>
    <x v="3"/>
    <n v="69"/>
    <n v="1000"/>
    <n v="700"/>
    <n v="69000"/>
    <n v="20700"/>
  </r>
  <r>
    <d v="2021-02-05T00:00:00"/>
    <x v="4"/>
    <x v="0"/>
    <x v="2"/>
    <n v="59"/>
    <n v="1200"/>
    <n v="800"/>
    <n v="70800"/>
    <n v="23600"/>
  </r>
  <r>
    <d v="2021-11-17T00:00:00"/>
    <x v="9"/>
    <x v="2"/>
    <x v="5"/>
    <n v="109"/>
    <n v="600"/>
    <n v="400"/>
    <n v="65400"/>
    <n v="21800"/>
  </r>
  <r>
    <d v="2020-12-28T00:00:00"/>
    <x v="8"/>
    <x v="1"/>
    <x v="4"/>
    <n v="61"/>
    <n v="4000"/>
    <n v="3000"/>
    <n v="244000"/>
    <n v="61000"/>
  </r>
  <r>
    <d v="2021-10-27T00:00:00"/>
    <x v="4"/>
    <x v="3"/>
    <x v="5"/>
    <n v="130"/>
    <n v="600"/>
    <n v="400"/>
    <n v="78000"/>
    <n v="26000"/>
  </r>
  <r>
    <d v="2021-11-02T00:00:00"/>
    <x v="3"/>
    <x v="2"/>
    <x v="1"/>
    <n v="60"/>
    <n v="3500"/>
    <n v="2500"/>
    <n v="210000"/>
    <n v="60000"/>
  </r>
  <r>
    <d v="2020-05-07T00:00:0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8E24CB-44DD-416A-8651-FC4FFF9CD1B7}"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3:L11" firstHeaderRow="1" firstDataRow="1" firstDataCol="1"/>
  <pivotFields count="9">
    <pivotField numFmtId="14" showAll="0"/>
    <pivotField showAll="0"/>
    <pivotField showAll="0">
      <items count="5">
        <item x="1"/>
        <item x="3"/>
        <item x="2"/>
        <item x="0"/>
        <item t="default"/>
      </items>
    </pivotField>
    <pivotField axis="axisRow" showAll="0">
      <items count="8">
        <item x="2"/>
        <item x="1"/>
        <item x="5"/>
        <item x="3"/>
        <item x="6"/>
        <item x="4"/>
        <item x="0"/>
        <item t="default"/>
      </items>
    </pivotField>
    <pivotField dataField="1" showAll="0"/>
    <pivotField numFmtId="164"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3">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60046E-1153-4554-A87E-F5A87952E63C}"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4"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0" baseItem="0" numFmtId="16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44ADF7-7D35-4F52-A131-9B27290200FF}"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1" firstHeaderRow="1" firstDataRow="1" firstDataCol="1"/>
  <pivotFields count="9">
    <pivotField numFmtId="14" showAll="0"/>
    <pivotField showAll="0"/>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0" baseItem="0" numFmtId="164"/>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6"/>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AFDBC4-78B0-41EE-B4DF-B15F790D65C4}"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2" baseItem="0" numFmtId="164"/>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2" count="1" selected="0">
            <x v="0"/>
          </reference>
        </references>
      </pivotArea>
    </chartFormat>
    <chartFormat chart="1" format="7">
      <pivotArea type="data" outline="0" fieldPosition="0">
        <references count="2">
          <reference field="4294967294" count="1" selected="0">
            <x v="0"/>
          </reference>
          <reference field="2" count="1" selected="0">
            <x v="1"/>
          </reference>
        </references>
      </pivotArea>
    </chartFormat>
    <chartFormat chart="1" format="8">
      <pivotArea type="data" outline="0" fieldPosition="0">
        <references count="2">
          <reference field="4294967294" count="1" selected="0">
            <x v="0"/>
          </reference>
          <reference field="2" count="1" selected="0">
            <x v="2"/>
          </reference>
        </references>
      </pivotArea>
    </chartFormat>
    <chartFormat chart="1" format="9">
      <pivotArea type="data" outline="0" fieldPosition="0">
        <references count="2">
          <reference field="4294967294" count="1" selected="0">
            <x v="0"/>
          </reference>
          <reference field="2"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5EC88E7E-4171-4664-A75D-4DAAB289C70A}" sourceName="Sales Person">
  <pivotTables>
    <pivotTable tabId="4" name="PivotTable1"/>
  </pivotTables>
  <data>
    <tabular pivotCacheId="191473290">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2F01E75-014E-4A1A-9412-FBF3478C80BC}" sourceName="Region">
  <pivotTables>
    <pivotTable tabId="4" name="PivotTable1"/>
  </pivotTables>
  <data>
    <tabular pivotCacheId="191473290">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39FA06D-698B-4144-8397-B79C502CB853}" sourceName="Product">
  <pivotTables>
    <pivotTable tabId="4" name="PivotTable1"/>
    <pivotTable tabId="4" name="PivotTable3"/>
    <pivotTable tabId="4" name="PivotTable4"/>
    <pivotTable tabId="4" name="PivotTable5"/>
  </pivotTables>
  <data>
    <tabular pivotCacheId="191473290">
      <items count="7">
        <i x="2" s="1"/>
        <i x="1" s="1"/>
        <i x="5"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7D794EEB-6C87-40B7-9573-20238F4CD0A1}" cache="Slicer_Sales_Person" caption="Sales Person" rowHeight="247650"/>
  <slicer name="Region" xr10:uid="{7212AB62-D4CC-4D27-8206-6668CC037B3C}" cache="Slicer_Region" caption="Region" columnCount="2" showCaption="0" rowHeight="247650"/>
  <slicer name="Product" xr10:uid="{73DF4E07-0191-4E5F-B5F9-BFA6476B5CB1}" cache="Slicer_Product" caption="Produ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DF861E46-CBA4-424E-A26A-A3B1AFAF0BDC}" cache="Slicer_Sales_Person" caption="Sales Person" style="Slicer Style 6" rowHeight="247650"/>
  <slicer name="Region 1" xr10:uid="{F8290D55-439F-407F-8917-C460158720B9}" cache="Slicer_Region" caption="Region" columnCount="2" showCaption="0" style="Slicer Style 6" rowHeight="247650"/>
  <slicer name="Product 1" xr10:uid="{A04AC4C8-5B76-4451-870C-CC0F90E8ABCD}" cache="Slicer_Product" caption="Product" style="Slicer Style 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28E0AD-B4C4-49C0-9142-6AE8AFE910C3}" name="Table1" displayName="Table1" ref="A1:I51" totalsRowShown="0" headerRowDxfId="8" dataDxfId="6" headerRowBorderDxfId="7" dataCellStyle="Currency [0]">
  <autoFilter ref="A1:I51" xr:uid="{7928E0AD-B4C4-49C0-9142-6AE8AFE910C3}"/>
  <tableColumns count="9">
    <tableColumn id="1" xr3:uid="{08ECE1DA-AD1D-4157-88BA-E8CAAB0D6880}" name="Date" dataDxfId="5"/>
    <tableColumn id="2" xr3:uid="{75D027D3-B7A1-4164-9F52-375C38D9AC03}" name="Sales Person"/>
    <tableColumn id="3" xr3:uid="{3DDB653F-978D-49A6-B21B-AA688082E0B0}" name="Region"/>
    <tableColumn id="4" xr3:uid="{7D093A51-FFBE-44BC-B598-EB8BF77485ED}" name="Product"/>
    <tableColumn id="5" xr3:uid="{CF222C94-D006-4137-9750-EE06F935BA77}" name="Units Sold" dataDxfId="4"/>
    <tableColumn id="6" xr3:uid="{D9D1CE26-79B5-484C-8DBC-D49095DD0644}" name="Unit Price" dataDxfId="3" dataCellStyle="Currency [0]">
      <calculatedColumnFormula>IF(D2="Tent",6000,IF(D2="Blender",3500,IF(D2="Action Figure",1200,IF(D2="Novel",1000,IF(D2="Sneakers",4000,IF(D2="Smartphone",10000,IF(D2="moisturizer",600,"No Product Found")))))))</calculatedColumnFormula>
    </tableColumn>
    <tableColumn id="7" xr3:uid="{31038AE1-19D5-44A9-B03F-7EA6C7EE9471}" name="Cost of Goods" dataDxfId="2" dataCellStyle="Currency [0]">
      <calculatedColumnFormula>IF(D2="Tent",4000,IF(D2="Blender",2500,IF(D2="Action Figure",800,IF(D2="Novel",700,IF(D2="Sneakers",3000,IF(D2="Smartphone",7000,IF(D2="moisturizer",400,"No Product Found")))))))</calculatedColumnFormula>
    </tableColumn>
    <tableColumn id="8" xr3:uid="{38A7B336-12EA-4BEE-901F-34130EFD010C}" name="Total Sales" dataDxfId="1" dataCellStyle="Currency [0]">
      <calculatedColumnFormula>F2*E2</calculatedColumnFormula>
    </tableColumn>
    <tableColumn id="9" xr3:uid="{BE5872CD-A5AC-46A9-8AA5-65FAA9B3F37D}" name="Profit" dataDxfId="0">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A685-9532-4D61-96BE-D0AEA1E93D0D}">
  <dimension ref="A3:L14"/>
  <sheetViews>
    <sheetView topLeftCell="A8" zoomScale="101" workbookViewId="0">
      <selection activeCell="B4" sqref="B4"/>
    </sheetView>
  </sheetViews>
  <sheetFormatPr defaultRowHeight="14.4" x14ac:dyDescent="0.3"/>
  <cols>
    <col min="1" max="1" width="13" bestFit="1" customWidth="1"/>
    <col min="2" max="2" width="16.77734375" bestFit="1" customWidth="1"/>
    <col min="4" max="4" width="13" bestFit="1" customWidth="1"/>
    <col min="5" max="5" width="16.77734375" bestFit="1" customWidth="1"/>
    <col min="7" max="7" width="13" bestFit="1" customWidth="1"/>
    <col min="8" max="8" width="16.77734375" bestFit="1" customWidth="1"/>
    <col min="11" max="11" width="13" bestFit="1" customWidth="1"/>
    <col min="12" max="12" width="16.21875" bestFit="1" customWidth="1"/>
  </cols>
  <sheetData>
    <row r="3" spans="1:12" x14ac:dyDescent="0.3">
      <c r="A3" s="8" t="s">
        <v>34</v>
      </c>
      <c r="B3" t="s">
        <v>35</v>
      </c>
      <c r="D3" s="8" t="s">
        <v>34</v>
      </c>
      <c r="E3" t="s">
        <v>35</v>
      </c>
      <c r="G3" s="8" t="s">
        <v>34</v>
      </c>
      <c r="H3" t="s">
        <v>35</v>
      </c>
      <c r="K3" s="8" t="s">
        <v>34</v>
      </c>
      <c r="L3" t="s">
        <v>36</v>
      </c>
    </row>
    <row r="4" spans="1:12" x14ac:dyDescent="0.3">
      <c r="A4" s="3" t="s">
        <v>12</v>
      </c>
      <c r="B4" s="5">
        <v>3534400</v>
      </c>
      <c r="D4" s="3" t="s">
        <v>16</v>
      </c>
      <c r="E4" s="5">
        <v>547200</v>
      </c>
      <c r="G4" s="3" t="s">
        <v>8</v>
      </c>
      <c r="H4" s="5">
        <v>1591600</v>
      </c>
      <c r="K4" s="3" t="s">
        <v>16</v>
      </c>
      <c r="L4">
        <v>456</v>
      </c>
    </row>
    <row r="5" spans="1:12" x14ac:dyDescent="0.3">
      <c r="A5" s="3" t="s">
        <v>18</v>
      </c>
      <c r="B5" s="5">
        <v>2661400</v>
      </c>
      <c r="D5" s="3" t="s">
        <v>13</v>
      </c>
      <c r="E5" s="5">
        <v>2222500</v>
      </c>
      <c r="G5" s="3" t="s">
        <v>25</v>
      </c>
      <c r="H5" s="5">
        <v>677600</v>
      </c>
      <c r="K5" s="3" t="s">
        <v>13</v>
      </c>
      <c r="L5">
        <v>635</v>
      </c>
    </row>
    <row r="6" spans="1:12" x14ac:dyDescent="0.3">
      <c r="A6" s="3" t="s">
        <v>15</v>
      </c>
      <c r="B6" s="5">
        <v>2870600</v>
      </c>
      <c r="D6" s="3" t="s">
        <v>26</v>
      </c>
      <c r="E6" s="5">
        <v>706800</v>
      </c>
      <c r="G6" s="3" t="s">
        <v>17</v>
      </c>
      <c r="H6" s="5">
        <v>1957000</v>
      </c>
      <c r="K6" s="3" t="s">
        <v>26</v>
      </c>
      <c r="L6">
        <v>1178</v>
      </c>
    </row>
    <row r="7" spans="1:12" x14ac:dyDescent="0.3">
      <c r="A7" s="3" t="s">
        <v>9</v>
      </c>
      <c r="B7" s="5">
        <v>3878100</v>
      </c>
      <c r="D7" s="3" t="s">
        <v>19</v>
      </c>
      <c r="E7" s="5">
        <v>898000</v>
      </c>
      <c r="G7" s="3" t="s">
        <v>22</v>
      </c>
      <c r="H7" s="5">
        <v>1661400</v>
      </c>
      <c r="K7" s="3" t="s">
        <v>19</v>
      </c>
      <c r="L7">
        <v>898</v>
      </c>
    </row>
    <row r="8" spans="1:12" x14ac:dyDescent="0.3">
      <c r="A8" s="3" t="s">
        <v>30</v>
      </c>
      <c r="B8" s="5">
        <v>12944500</v>
      </c>
      <c r="D8" s="3" t="s">
        <v>28</v>
      </c>
      <c r="E8" s="5">
        <v>2350000</v>
      </c>
      <c r="G8" s="3" t="s">
        <v>24</v>
      </c>
      <c r="H8" s="5">
        <v>1741200</v>
      </c>
      <c r="K8" s="3" t="s">
        <v>28</v>
      </c>
      <c r="L8">
        <v>235</v>
      </c>
    </row>
    <row r="9" spans="1:12" x14ac:dyDescent="0.3">
      <c r="D9" s="3" t="s">
        <v>21</v>
      </c>
      <c r="E9" s="5">
        <v>3196000</v>
      </c>
      <c r="G9" s="3" t="s">
        <v>14</v>
      </c>
      <c r="H9" s="5">
        <v>1110000</v>
      </c>
      <c r="K9" s="3" t="s">
        <v>21</v>
      </c>
      <c r="L9">
        <v>799</v>
      </c>
    </row>
    <row r="10" spans="1:12" x14ac:dyDescent="0.3">
      <c r="D10" s="3" t="s">
        <v>10</v>
      </c>
      <c r="E10" s="5">
        <v>3024000</v>
      </c>
      <c r="G10" s="3" t="s">
        <v>11</v>
      </c>
      <c r="H10" s="5">
        <v>1777400</v>
      </c>
      <c r="K10" s="3" t="s">
        <v>10</v>
      </c>
      <c r="L10">
        <v>504</v>
      </c>
    </row>
    <row r="11" spans="1:12" x14ac:dyDescent="0.3">
      <c r="D11" s="3" t="s">
        <v>30</v>
      </c>
      <c r="E11" s="5">
        <v>12944500</v>
      </c>
      <c r="G11" s="3" t="s">
        <v>20</v>
      </c>
      <c r="H11" s="5">
        <v>1065400</v>
      </c>
      <c r="K11" s="3" t="s">
        <v>30</v>
      </c>
      <c r="L11">
        <v>4705</v>
      </c>
    </row>
    <row r="12" spans="1:12" x14ac:dyDescent="0.3">
      <c r="G12" s="3" t="s">
        <v>27</v>
      </c>
      <c r="H12" s="5">
        <v>784400</v>
      </c>
    </row>
    <row r="13" spans="1:12" x14ac:dyDescent="0.3">
      <c r="G13" s="3" t="s">
        <v>23</v>
      </c>
      <c r="H13" s="5">
        <v>578500</v>
      </c>
    </row>
    <row r="14" spans="1:12" x14ac:dyDescent="0.3">
      <c r="G14" s="3" t="s">
        <v>30</v>
      </c>
      <c r="H14" s="5">
        <v>12944500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E2D78-1036-4B84-88BD-08124EF57E26}">
  <dimension ref="A1"/>
  <sheetViews>
    <sheetView tabSelected="1" zoomScale="91" zoomScaleNormal="86" workbookViewId="0">
      <selection activeCell="X31" sqref="X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K51"/>
  <sheetViews>
    <sheetView workbookViewId="0">
      <selection activeCell="A52" sqref="A52"/>
    </sheetView>
  </sheetViews>
  <sheetFormatPr defaultRowHeight="14.4" x14ac:dyDescent="0.3"/>
  <cols>
    <col min="1" max="1" width="12.88671875" customWidth="1"/>
    <col min="2" max="2" width="13.44140625" customWidth="1"/>
    <col min="4" max="4" width="15.6640625" customWidth="1"/>
    <col min="5" max="5" width="11.33203125" customWidth="1"/>
    <col min="6" max="6" width="11" customWidth="1"/>
    <col min="7" max="7" width="14.21875" customWidth="1"/>
    <col min="8" max="9" width="13.5546875" customWidth="1"/>
    <col min="10" max="10" width="12.21875" bestFit="1" customWidth="1"/>
    <col min="11" max="11" width="14.21875" customWidth="1"/>
  </cols>
  <sheetData>
    <row r="1" spans="1:11" ht="20.100000000000001" customHeight="1" thickBot="1" x14ac:dyDescent="0.35">
      <c r="A1" s="1" t="s">
        <v>0</v>
      </c>
      <c r="B1" s="1" t="s">
        <v>1</v>
      </c>
      <c r="C1" s="1" t="s">
        <v>2</v>
      </c>
      <c r="D1" s="1" t="s">
        <v>3</v>
      </c>
      <c r="E1" s="1" t="s">
        <v>4</v>
      </c>
      <c r="F1" s="1" t="s">
        <v>5</v>
      </c>
      <c r="G1" s="1" t="s">
        <v>6</v>
      </c>
      <c r="H1" s="1" t="s">
        <v>7</v>
      </c>
      <c r="I1" s="1" t="s">
        <v>29</v>
      </c>
      <c r="J1" s="1"/>
      <c r="K1" s="1" t="s">
        <v>30</v>
      </c>
    </row>
    <row r="2" spans="1:11" ht="15" thickTop="1" x14ac:dyDescent="0.3">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5">
        <f>H2-(G2*E2)</f>
        <v>168000</v>
      </c>
      <c r="K2" s="9">
        <f>SUM(H2:H51)</f>
        <v>12944500</v>
      </c>
    </row>
    <row r="3" spans="1:11" x14ac:dyDescent="0.3">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5">
        <f t="shared" ref="I3:I51" si="3">H3-(G3*E3)</f>
        <v>128000</v>
      </c>
      <c r="K3" s="6" t="s">
        <v>31</v>
      </c>
    </row>
    <row r="4" spans="1:11" x14ac:dyDescent="0.3">
      <c r="A4" s="2">
        <v>44230</v>
      </c>
      <c r="B4" t="s">
        <v>14</v>
      </c>
      <c r="C4" t="s">
        <v>15</v>
      </c>
      <c r="D4" t="s">
        <v>16</v>
      </c>
      <c r="E4" s="3">
        <v>136</v>
      </c>
      <c r="F4" s="4">
        <f t="shared" si="0"/>
        <v>1200</v>
      </c>
      <c r="G4" s="4">
        <f t="shared" si="1"/>
        <v>800</v>
      </c>
      <c r="H4" s="4">
        <f t="shared" si="2"/>
        <v>163200</v>
      </c>
      <c r="I4" s="5">
        <f t="shared" si="3"/>
        <v>54400</v>
      </c>
      <c r="K4">
        <f>SUM(E2:E51)</f>
        <v>4705</v>
      </c>
    </row>
    <row r="5" spans="1:11" x14ac:dyDescent="0.3">
      <c r="A5" s="2">
        <v>44085</v>
      </c>
      <c r="B5" t="s">
        <v>17</v>
      </c>
      <c r="C5" t="s">
        <v>18</v>
      </c>
      <c r="D5" t="s">
        <v>19</v>
      </c>
      <c r="E5" s="3">
        <v>91</v>
      </c>
      <c r="F5" s="4">
        <f t="shared" si="0"/>
        <v>1000</v>
      </c>
      <c r="G5" s="4">
        <f t="shared" si="1"/>
        <v>700</v>
      </c>
      <c r="H5" s="4">
        <f t="shared" si="2"/>
        <v>91000</v>
      </c>
      <c r="I5" s="5">
        <f t="shared" si="3"/>
        <v>27300</v>
      </c>
      <c r="K5" s="6" t="s">
        <v>32</v>
      </c>
    </row>
    <row r="6" spans="1:11" x14ac:dyDescent="0.3">
      <c r="A6" s="2">
        <v>44462</v>
      </c>
      <c r="B6" t="s">
        <v>20</v>
      </c>
      <c r="C6" t="s">
        <v>9</v>
      </c>
      <c r="D6" t="s">
        <v>21</v>
      </c>
      <c r="E6" s="3">
        <v>110</v>
      </c>
      <c r="F6" s="4">
        <f t="shared" si="0"/>
        <v>4000</v>
      </c>
      <c r="G6" s="4">
        <f t="shared" si="1"/>
        <v>3000</v>
      </c>
      <c r="H6" s="4">
        <f t="shared" si="2"/>
        <v>440000</v>
      </c>
      <c r="I6" s="5">
        <f t="shared" si="3"/>
        <v>110000</v>
      </c>
      <c r="K6" s="9">
        <f>SUM(I2:I51)</f>
        <v>3834400</v>
      </c>
    </row>
    <row r="7" spans="1:11" x14ac:dyDescent="0.3">
      <c r="A7" s="2">
        <v>44105</v>
      </c>
      <c r="B7" t="s">
        <v>22</v>
      </c>
      <c r="C7" t="s">
        <v>12</v>
      </c>
      <c r="D7" t="s">
        <v>16</v>
      </c>
      <c r="E7" s="3">
        <v>51</v>
      </c>
      <c r="F7" s="4">
        <f t="shared" si="0"/>
        <v>1200</v>
      </c>
      <c r="G7" s="4">
        <f t="shared" si="1"/>
        <v>800</v>
      </c>
      <c r="H7" s="4">
        <f t="shared" si="2"/>
        <v>61200</v>
      </c>
      <c r="I7" s="5">
        <f t="shared" si="3"/>
        <v>20400</v>
      </c>
      <c r="K7" s="7" t="s">
        <v>33</v>
      </c>
    </row>
    <row r="8" spans="1:11" x14ac:dyDescent="0.3">
      <c r="A8" s="2">
        <v>44413</v>
      </c>
      <c r="B8" t="s">
        <v>23</v>
      </c>
      <c r="C8" t="s">
        <v>18</v>
      </c>
      <c r="D8" t="s">
        <v>19</v>
      </c>
      <c r="E8" s="3">
        <v>78</v>
      </c>
      <c r="F8" s="4">
        <f t="shared" si="0"/>
        <v>1000</v>
      </c>
      <c r="G8" s="4">
        <f t="shared" si="1"/>
        <v>700</v>
      </c>
      <c r="H8" s="4">
        <f t="shared" si="2"/>
        <v>78000</v>
      </c>
      <c r="I8" s="5">
        <f t="shared" si="3"/>
        <v>23400</v>
      </c>
      <c r="K8" s="9">
        <f>AVERAGE(H2:H51)</f>
        <v>258890</v>
      </c>
    </row>
    <row r="9" spans="1:11" x14ac:dyDescent="0.3">
      <c r="A9" s="2">
        <v>44141</v>
      </c>
      <c r="B9" t="s">
        <v>24</v>
      </c>
      <c r="C9" t="s">
        <v>15</v>
      </c>
      <c r="D9" t="s">
        <v>10</v>
      </c>
      <c r="E9" s="3">
        <v>146</v>
      </c>
      <c r="F9" s="4">
        <f t="shared" si="0"/>
        <v>6000</v>
      </c>
      <c r="G9" s="4">
        <f t="shared" si="1"/>
        <v>4000</v>
      </c>
      <c r="H9" s="4">
        <f t="shared" si="2"/>
        <v>876000</v>
      </c>
      <c r="I9" s="5">
        <f t="shared" si="3"/>
        <v>292000</v>
      </c>
    </row>
    <row r="10" spans="1:11" x14ac:dyDescent="0.3">
      <c r="A10" s="2">
        <v>44223</v>
      </c>
      <c r="B10" t="s">
        <v>25</v>
      </c>
      <c r="C10" t="s">
        <v>9</v>
      </c>
      <c r="D10" t="s">
        <v>26</v>
      </c>
      <c r="E10" s="3">
        <v>101</v>
      </c>
      <c r="F10" s="4">
        <f t="shared" si="0"/>
        <v>600</v>
      </c>
      <c r="G10" s="4">
        <f t="shared" si="1"/>
        <v>400</v>
      </c>
      <c r="H10" s="4">
        <f t="shared" si="2"/>
        <v>60600</v>
      </c>
      <c r="I10" s="5">
        <f t="shared" si="3"/>
        <v>20200</v>
      </c>
    </row>
    <row r="11" spans="1:11" x14ac:dyDescent="0.3">
      <c r="A11" s="2">
        <v>44442</v>
      </c>
      <c r="B11" t="s">
        <v>27</v>
      </c>
      <c r="C11" t="s">
        <v>15</v>
      </c>
      <c r="D11" t="s">
        <v>10</v>
      </c>
      <c r="E11" s="3">
        <v>52</v>
      </c>
      <c r="F11" s="4">
        <f t="shared" si="0"/>
        <v>6000</v>
      </c>
      <c r="G11" s="4">
        <f t="shared" si="1"/>
        <v>4000</v>
      </c>
      <c r="H11" s="4">
        <f t="shared" si="2"/>
        <v>312000</v>
      </c>
      <c r="I11" s="5">
        <f t="shared" si="3"/>
        <v>104000</v>
      </c>
    </row>
    <row r="12" spans="1:11" x14ac:dyDescent="0.3">
      <c r="A12" s="2">
        <v>44469</v>
      </c>
      <c r="B12" t="s">
        <v>27</v>
      </c>
      <c r="C12" t="s">
        <v>12</v>
      </c>
      <c r="D12" t="s">
        <v>16</v>
      </c>
      <c r="E12" s="3">
        <v>55</v>
      </c>
      <c r="F12" s="4">
        <f t="shared" si="0"/>
        <v>1200</v>
      </c>
      <c r="G12" s="4">
        <f t="shared" si="1"/>
        <v>800</v>
      </c>
      <c r="H12" s="4">
        <f t="shared" si="2"/>
        <v>66000</v>
      </c>
      <c r="I12" s="5">
        <f t="shared" si="3"/>
        <v>22000</v>
      </c>
    </row>
    <row r="13" spans="1:11" x14ac:dyDescent="0.3">
      <c r="A13" s="2">
        <v>44084</v>
      </c>
      <c r="B13" t="s">
        <v>27</v>
      </c>
      <c r="C13" t="s">
        <v>15</v>
      </c>
      <c r="D13" t="s">
        <v>19</v>
      </c>
      <c r="E13" s="3">
        <v>137</v>
      </c>
      <c r="F13" s="4">
        <f t="shared" si="0"/>
        <v>1000</v>
      </c>
      <c r="G13" s="4">
        <f t="shared" si="1"/>
        <v>700</v>
      </c>
      <c r="H13" s="4">
        <f t="shared" si="2"/>
        <v>137000</v>
      </c>
      <c r="I13" s="5">
        <f t="shared" si="3"/>
        <v>41100</v>
      </c>
    </row>
    <row r="14" spans="1:11" x14ac:dyDescent="0.3">
      <c r="A14" s="2">
        <v>44404</v>
      </c>
      <c r="B14" t="s">
        <v>24</v>
      </c>
      <c r="C14" t="s">
        <v>15</v>
      </c>
      <c r="D14" t="s">
        <v>13</v>
      </c>
      <c r="E14" s="3">
        <v>96</v>
      </c>
      <c r="F14" s="4">
        <f t="shared" si="0"/>
        <v>3500</v>
      </c>
      <c r="G14" s="4">
        <f t="shared" si="1"/>
        <v>2500</v>
      </c>
      <c r="H14" s="4">
        <f t="shared" si="2"/>
        <v>336000</v>
      </c>
      <c r="I14" s="5">
        <f t="shared" si="3"/>
        <v>96000</v>
      </c>
    </row>
    <row r="15" spans="1:11" x14ac:dyDescent="0.3">
      <c r="A15" s="2">
        <v>44113</v>
      </c>
      <c r="B15" t="s">
        <v>25</v>
      </c>
      <c r="C15" t="s">
        <v>12</v>
      </c>
      <c r="D15" t="s">
        <v>21</v>
      </c>
      <c r="E15" s="3">
        <v>52</v>
      </c>
      <c r="F15" s="4">
        <f t="shared" si="0"/>
        <v>4000</v>
      </c>
      <c r="G15" s="4">
        <f t="shared" si="1"/>
        <v>3000</v>
      </c>
      <c r="H15" s="4">
        <f t="shared" si="2"/>
        <v>208000</v>
      </c>
      <c r="I15" s="5">
        <f t="shared" si="3"/>
        <v>52000</v>
      </c>
    </row>
    <row r="16" spans="1:11" x14ac:dyDescent="0.3">
      <c r="A16" s="2">
        <v>44292</v>
      </c>
      <c r="B16" t="s">
        <v>17</v>
      </c>
      <c r="C16" t="s">
        <v>9</v>
      </c>
      <c r="D16" t="s">
        <v>13</v>
      </c>
      <c r="E16" s="3">
        <v>76</v>
      </c>
      <c r="F16" s="4">
        <f t="shared" si="0"/>
        <v>3500</v>
      </c>
      <c r="G16" s="4">
        <f t="shared" si="1"/>
        <v>2500</v>
      </c>
      <c r="H16" s="4">
        <f t="shared" si="2"/>
        <v>266000</v>
      </c>
      <c r="I16" s="5">
        <f t="shared" si="3"/>
        <v>76000</v>
      </c>
    </row>
    <row r="17" spans="1:9" x14ac:dyDescent="0.3">
      <c r="A17" s="2">
        <v>44362</v>
      </c>
      <c r="B17" t="s">
        <v>11</v>
      </c>
      <c r="C17" t="s">
        <v>18</v>
      </c>
      <c r="D17" t="s">
        <v>21</v>
      </c>
      <c r="E17" s="3">
        <v>145</v>
      </c>
      <c r="F17" s="4">
        <f t="shared" si="0"/>
        <v>4000</v>
      </c>
      <c r="G17" s="4">
        <f t="shared" si="1"/>
        <v>3000</v>
      </c>
      <c r="H17" s="4">
        <f t="shared" si="2"/>
        <v>580000</v>
      </c>
      <c r="I17" s="5">
        <f t="shared" si="3"/>
        <v>145000</v>
      </c>
    </row>
    <row r="18" spans="1:9" x14ac:dyDescent="0.3">
      <c r="A18" s="2">
        <v>44083</v>
      </c>
      <c r="B18" t="s">
        <v>8</v>
      </c>
      <c r="C18" t="s">
        <v>15</v>
      </c>
      <c r="D18" t="s">
        <v>26</v>
      </c>
      <c r="E18" s="3">
        <v>83</v>
      </c>
      <c r="F18" s="4">
        <f t="shared" si="0"/>
        <v>600</v>
      </c>
      <c r="G18" s="4">
        <f t="shared" si="1"/>
        <v>400</v>
      </c>
      <c r="H18" s="4">
        <f t="shared" si="2"/>
        <v>49800</v>
      </c>
      <c r="I18" s="5">
        <f t="shared" si="3"/>
        <v>16600</v>
      </c>
    </row>
    <row r="19" spans="1:9" x14ac:dyDescent="0.3">
      <c r="A19" s="2">
        <v>44421</v>
      </c>
      <c r="B19" t="s">
        <v>20</v>
      </c>
      <c r="C19" t="s">
        <v>15</v>
      </c>
      <c r="D19" t="s">
        <v>19</v>
      </c>
      <c r="E19" s="3">
        <v>91</v>
      </c>
      <c r="F19" s="4">
        <f t="shared" si="0"/>
        <v>1000</v>
      </c>
      <c r="G19" s="4">
        <f t="shared" si="1"/>
        <v>700</v>
      </c>
      <c r="H19" s="4">
        <f t="shared" si="2"/>
        <v>91000</v>
      </c>
      <c r="I19" s="5">
        <f t="shared" si="3"/>
        <v>27300</v>
      </c>
    </row>
    <row r="20" spans="1:9" x14ac:dyDescent="0.3">
      <c r="A20" s="2">
        <v>44070</v>
      </c>
      <c r="B20" t="s">
        <v>22</v>
      </c>
      <c r="C20" t="s">
        <v>9</v>
      </c>
      <c r="D20" t="s">
        <v>28</v>
      </c>
      <c r="E20" s="3">
        <v>108</v>
      </c>
      <c r="F20" s="4">
        <f t="shared" si="0"/>
        <v>10000</v>
      </c>
      <c r="G20" s="4">
        <f t="shared" si="1"/>
        <v>7000</v>
      </c>
      <c r="H20" s="4">
        <f t="shared" si="2"/>
        <v>1080000</v>
      </c>
      <c r="I20" s="5">
        <f t="shared" si="3"/>
        <v>324000</v>
      </c>
    </row>
    <row r="21" spans="1:9" x14ac:dyDescent="0.3">
      <c r="A21" s="2">
        <v>44293</v>
      </c>
      <c r="B21" t="s">
        <v>14</v>
      </c>
      <c r="C21" t="s">
        <v>18</v>
      </c>
      <c r="D21" t="s">
        <v>21</v>
      </c>
      <c r="E21" s="3">
        <v>144</v>
      </c>
      <c r="F21" s="4">
        <f t="shared" si="0"/>
        <v>4000</v>
      </c>
      <c r="G21" s="4">
        <f t="shared" si="1"/>
        <v>3000</v>
      </c>
      <c r="H21" s="4">
        <f t="shared" si="2"/>
        <v>576000</v>
      </c>
      <c r="I21" s="5">
        <f t="shared" si="3"/>
        <v>144000</v>
      </c>
    </row>
    <row r="22" spans="1:9" x14ac:dyDescent="0.3">
      <c r="A22" s="2">
        <v>43990</v>
      </c>
      <c r="B22" t="s">
        <v>20</v>
      </c>
      <c r="C22" t="s">
        <v>15</v>
      </c>
      <c r="D22" t="s">
        <v>26</v>
      </c>
      <c r="E22" s="3">
        <v>92</v>
      </c>
      <c r="F22" s="4">
        <f t="shared" si="0"/>
        <v>600</v>
      </c>
      <c r="G22" s="4">
        <f t="shared" si="1"/>
        <v>400</v>
      </c>
      <c r="H22" s="4">
        <f t="shared" si="2"/>
        <v>55200</v>
      </c>
      <c r="I22" s="5">
        <f t="shared" si="3"/>
        <v>18400</v>
      </c>
    </row>
    <row r="23" spans="1:9" x14ac:dyDescent="0.3">
      <c r="A23" s="2">
        <v>44551</v>
      </c>
      <c r="B23" t="s">
        <v>24</v>
      </c>
      <c r="C23" t="s">
        <v>9</v>
      </c>
      <c r="D23" t="s">
        <v>10</v>
      </c>
      <c r="E23" s="3">
        <v>71</v>
      </c>
      <c r="F23" s="4">
        <f t="shared" si="0"/>
        <v>6000</v>
      </c>
      <c r="G23" s="4">
        <f t="shared" si="1"/>
        <v>4000</v>
      </c>
      <c r="H23" s="4">
        <f t="shared" si="2"/>
        <v>426000</v>
      </c>
      <c r="I23" s="5">
        <f t="shared" si="3"/>
        <v>142000</v>
      </c>
    </row>
    <row r="24" spans="1:9" x14ac:dyDescent="0.3">
      <c r="A24" s="2">
        <v>44418</v>
      </c>
      <c r="B24" t="s">
        <v>8</v>
      </c>
      <c r="C24" t="s">
        <v>12</v>
      </c>
      <c r="D24" t="s">
        <v>26</v>
      </c>
      <c r="E24" s="3">
        <v>103</v>
      </c>
      <c r="F24" s="4">
        <f t="shared" si="0"/>
        <v>600</v>
      </c>
      <c r="G24" s="4">
        <f t="shared" si="1"/>
        <v>400</v>
      </c>
      <c r="H24" s="4">
        <f t="shared" si="2"/>
        <v>61800</v>
      </c>
      <c r="I24" s="5">
        <f t="shared" si="3"/>
        <v>20600</v>
      </c>
    </row>
    <row r="25" spans="1:9" x14ac:dyDescent="0.3">
      <c r="A25" s="2">
        <v>44532</v>
      </c>
      <c r="B25" t="s">
        <v>27</v>
      </c>
      <c r="C25" t="s">
        <v>18</v>
      </c>
      <c r="D25" t="s">
        <v>19</v>
      </c>
      <c r="E25" s="3">
        <v>55</v>
      </c>
      <c r="F25" s="4">
        <f t="shared" si="0"/>
        <v>1000</v>
      </c>
      <c r="G25" s="4">
        <f t="shared" si="1"/>
        <v>700</v>
      </c>
      <c r="H25" s="4">
        <f t="shared" si="2"/>
        <v>55000</v>
      </c>
      <c r="I25" s="5">
        <f t="shared" si="3"/>
        <v>16500</v>
      </c>
    </row>
    <row r="26" spans="1:9" x14ac:dyDescent="0.3">
      <c r="A26" s="2">
        <v>44438</v>
      </c>
      <c r="B26" t="s">
        <v>22</v>
      </c>
      <c r="C26" t="s">
        <v>12</v>
      </c>
      <c r="D26" t="s">
        <v>21</v>
      </c>
      <c r="E26" s="3">
        <v>93</v>
      </c>
      <c r="F26" s="4">
        <f t="shared" si="0"/>
        <v>4000</v>
      </c>
      <c r="G26" s="4">
        <f t="shared" si="1"/>
        <v>3000</v>
      </c>
      <c r="H26" s="4">
        <f t="shared" si="2"/>
        <v>372000</v>
      </c>
      <c r="I26" s="5">
        <f t="shared" si="3"/>
        <v>93000</v>
      </c>
    </row>
    <row r="27" spans="1:9" x14ac:dyDescent="0.3">
      <c r="A27" s="2">
        <v>43971</v>
      </c>
      <c r="B27" t="s">
        <v>14</v>
      </c>
      <c r="C27" t="s">
        <v>15</v>
      </c>
      <c r="D27" t="s">
        <v>26</v>
      </c>
      <c r="E27" s="3">
        <v>143</v>
      </c>
      <c r="F27" s="4">
        <f t="shared" si="0"/>
        <v>600</v>
      </c>
      <c r="G27" s="4">
        <f t="shared" si="1"/>
        <v>400</v>
      </c>
      <c r="H27" s="4">
        <f t="shared" si="2"/>
        <v>85800</v>
      </c>
      <c r="I27" s="5">
        <f t="shared" si="3"/>
        <v>28600</v>
      </c>
    </row>
    <row r="28" spans="1:9" x14ac:dyDescent="0.3">
      <c r="A28" s="2">
        <v>44452</v>
      </c>
      <c r="B28" t="s">
        <v>23</v>
      </c>
      <c r="C28" t="s">
        <v>9</v>
      </c>
      <c r="D28" t="s">
        <v>13</v>
      </c>
      <c r="E28" s="3">
        <v>143</v>
      </c>
      <c r="F28" s="4">
        <f t="shared" si="0"/>
        <v>3500</v>
      </c>
      <c r="G28" s="4">
        <f t="shared" si="1"/>
        <v>2500</v>
      </c>
      <c r="H28" s="4">
        <f t="shared" si="2"/>
        <v>500500</v>
      </c>
      <c r="I28" s="5">
        <f t="shared" si="3"/>
        <v>143000</v>
      </c>
    </row>
    <row r="29" spans="1:9" x14ac:dyDescent="0.3">
      <c r="A29" s="2">
        <v>44496</v>
      </c>
      <c r="B29" t="s">
        <v>25</v>
      </c>
      <c r="C29" t="s">
        <v>18</v>
      </c>
      <c r="D29" t="s">
        <v>26</v>
      </c>
      <c r="E29" s="3">
        <v>99</v>
      </c>
      <c r="F29" s="4">
        <f t="shared" si="0"/>
        <v>600</v>
      </c>
      <c r="G29" s="4">
        <f t="shared" si="1"/>
        <v>400</v>
      </c>
      <c r="H29" s="4">
        <f t="shared" si="2"/>
        <v>59400</v>
      </c>
      <c r="I29" s="5">
        <f t="shared" si="3"/>
        <v>19800</v>
      </c>
    </row>
    <row r="30" spans="1:9" x14ac:dyDescent="0.3">
      <c r="A30" s="2">
        <v>44187</v>
      </c>
      <c r="B30" t="s">
        <v>17</v>
      </c>
      <c r="C30" t="s">
        <v>9</v>
      </c>
      <c r="D30" t="s">
        <v>19</v>
      </c>
      <c r="E30" s="3">
        <v>120</v>
      </c>
      <c r="F30" s="4">
        <f t="shared" si="0"/>
        <v>1000</v>
      </c>
      <c r="G30" s="4">
        <f t="shared" si="1"/>
        <v>700</v>
      </c>
      <c r="H30" s="4">
        <f t="shared" si="2"/>
        <v>120000</v>
      </c>
      <c r="I30" s="5">
        <f t="shared" si="3"/>
        <v>36000</v>
      </c>
    </row>
    <row r="31" spans="1:9" x14ac:dyDescent="0.3">
      <c r="A31" s="2">
        <v>44405</v>
      </c>
      <c r="B31" t="s">
        <v>11</v>
      </c>
      <c r="C31" t="s">
        <v>15</v>
      </c>
      <c r="D31" t="s">
        <v>13</v>
      </c>
      <c r="E31" s="3">
        <v>66</v>
      </c>
      <c r="F31" s="4">
        <f t="shared" si="0"/>
        <v>3500</v>
      </c>
      <c r="G31" s="4">
        <f t="shared" si="1"/>
        <v>2500</v>
      </c>
      <c r="H31" s="4">
        <f t="shared" si="2"/>
        <v>231000</v>
      </c>
      <c r="I31" s="5">
        <f t="shared" si="3"/>
        <v>66000</v>
      </c>
    </row>
    <row r="32" spans="1:9" x14ac:dyDescent="0.3">
      <c r="A32" s="2">
        <v>44103</v>
      </c>
      <c r="B32" t="s">
        <v>25</v>
      </c>
      <c r="C32" t="s">
        <v>18</v>
      </c>
      <c r="D32" t="s">
        <v>16</v>
      </c>
      <c r="E32" s="3">
        <v>88</v>
      </c>
      <c r="F32" s="4">
        <f t="shared" si="0"/>
        <v>1200</v>
      </c>
      <c r="G32" s="4">
        <f t="shared" si="1"/>
        <v>800</v>
      </c>
      <c r="H32" s="4">
        <f t="shared" si="2"/>
        <v>105600</v>
      </c>
      <c r="I32" s="5">
        <f t="shared" si="3"/>
        <v>35200</v>
      </c>
    </row>
    <row r="33" spans="1:9" x14ac:dyDescent="0.3">
      <c r="A33" s="2">
        <v>44126</v>
      </c>
      <c r="B33" t="s">
        <v>17</v>
      </c>
      <c r="C33" t="s">
        <v>12</v>
      </c>
      <c r="D33" t="s">
        <v>28</v>
      </c>
      <c r="E33" s="3">
        <v>127</v>
      </c>
      <c r="F33" s="4">
        <f t="shared" si="0"/>
        <v>10000</v>
      </c>
      <c r="G33" s="4">
        <f t="shared" si="1"/>
        <v>7000</v>
      </c>
      <c r="H33" s="4">
        <f t="shared" si="2"/>
        <v>1270000</v>
      </c>
      <c r="I33" s="5">
        <f t="shared" si="3"/>
        <v>381000</v>
      </c>
    </row>
    <row r="34" spans="1:9" x14ac:dyDescent="0.3">
      <c r="A34" s="2">
        <v>43970</v>
      </c>
      <c r="B34" t="s">
        <v>20</v>
      </c>
      <c r="C34" t="s">
        <v>9</v>
      </c>
      <c r="D34" t="s">
        <v>21</v>
      </c>
      <c r="E34" s="3">
        <v>67</v>
      </c>
      <c r="F34" s="4">
        <f t="shared" si="0"/>
        <v>4000</v>
      </c>
      <c r="G34" s="4">
        <f t="shared" si="1"/>
        <v>3000</v>
      </c>
      <c r="H34" s="4">
        <f t="shared" si="2"/>
        <v>268000</v>
      </c>
      <c r="I34" s="5">
        <f t="shared" si="3"/>
        <v>67000</v>
      </c>
    </row>
    <row r="35" spans="1:9" x14ac:dyDescent="0.3">
      <c r="A35" s="2">
        <v>44536</v>
      </c>
      <c r="B35" t="s">
        <v>11</v>
      </c>
      <c r="C35" t="s">
        <v>12</v>
      </c>
      <c r="D35" t="s">
        <v>16</v>
      </c>
      <c r="E35" s="3">
        <v>67</v>
      </c>
      <c r="F35" s="4">
        <f t="shared" si="0"/>
        <v>1200</v>
      </c>
      <c r="G35" s="4">
        <f t="shared" si="1"/>
        <v>800</v>
      </c>
      <c r="H35" s="4">
        <f t="shared" si="2"/>
        <v>80400</v>
      </c>
      <c r="I35" s="5">
        <f t="shared" si="3"/>
        <v>26800</v>
      </c>
    </row>
    <row r="36" spans="1:9" x14ac:dyDescent="0.3">
      <c r="A36" s="2">
        <v>44069</v>
      </c>
      <c r="B36" t="s">
        <v>27</v>
      </c>
      <c r="C36" t="s">
        <v>15</v>
      </c>
      <c r="D36" t="s">
        <v>19</v>
      </c>
      <c r="E36" s="3">
        <v>149</v>
      </c>
      <c r="F36" s="4">
        <f t="shared" si="0"/>
        <v>1000</v>
      </c>
      <c r="G36" s="4">
        <f t="shared" si="1"/>
        <v>700</v>
      </c>
      <c r="H36" s="4">
        <f t="shared" si="2"/>
        <v>149000</v>
      </c>
      <c r="I36" s="5">
        <f t="shared" si="3"/>
        <v>44700</v>
      </c>
    </row>
    <row r="37" spans="1:9" x14ac:dyDescent="0.3">
      <c r="A37" s="2">
        <v>44378</v>
      </c>
      <c r="B37" t="s">
        <v>20</v>
      </c>
      <c r="C37" t="s">
        <v>18</v>
      </c>
      <c r="D37" t="s">
        <v>26</v>
      </c>
      <c r="E37" s="3">
        <v>104</v>
      </c>
      <c r="F37" s="4">
        <f t="shared" si="0"/>
        <v>600</v>
      </c>
      <c r="G37" s="4">
        <f t="shared" si="1"/>
        <v>400</v>
      </c>
      <c r="H37" s="4">
        <f t="shared" si="2"/>
        <v>62400</v>
      </c>
      <c r="I37" s="5">
        <f t="shared" si="3"/>
        <v>20800</v>
      </c>
    </row>
    <row r="38" spans="1:9" x14ac:dyDescent="0.3">
      <c r="A38" s="2">
        <v>44404</v>
      </c>
      <c r="B38" t="s">
        <v>24</v>
      </c>
      <c r="C38" t="s">
        <v>9</v>
      </c>
      <c r="D38" t="s">
        <v>26</v>
      </c>
      <c r="E38" s="3">
        <v>57</v>
      </c>
      <c r="F38" s="4">
        <f t="shared" si="0"/>
        <v>600</v>
      </c>
      <c r="G38" s="4">
        <f t="shared" si="1"/>
        <v>400</v>
      </c>
      <c r="H38" s="4">
        <f t="shared" si="2"/>
        <v>34200</v>
      </c>
      <c r="I38" s="5">
        <f t="shared" si="3"/>
        <v>11400</v>
      </c>
    </row>
    <row r="39" spans="1:9" x14ac:dyDescent="0.3">
      <c r="A39" s="2">
        <v>44109</v>
      </c>
      <c r="B39" t="s">
        <v>14</v>
      </c>
      <c r="C39" t="s">
        <v>12</v>
      </c>
      <c r="D39" t="s">
        <v>26</v>
      </c>
      <c r="E39" s="3">
        <v>90</v>
      </c>
      <c r="F39" s="4">
        <f t="shared" si="0"/>
        <v>600</v>
      </c>
      <c r="G39" s="4">
        <f t="shared" si="1"/>
        <v>400</v>
      </c>
      <c r="H39" s="4">
        <f t="shared" si="2"/>
        <v>54000</v>
      </c>
      <c r="I39" s="5">
        <f t="shared" si="3"/>
        <v>18000</v>
      </c>
    </row>
    <row r="40" spans="1:9" x14ac:dyDescent="0.3">
      <c r="A40" s="2">
        <v>44076</v>
      </c>
      <c r="B40" t="s">
        <v>22</v>
      </c>
      <c r="C40" t="s">
        <v>15</v>
      </c>
      <c r="D40" t="s">
        <v>26</v>
      </c>
      <c r="E40" s="3">
        <v>67</v>
      </c>
      <c r="F40" s="4">
        <f t="shared" si="0"/>
        <v>600</v>
      </c>
      <c r="G40" s="4">
        <f t="shared" si="1"/>
        <v>400</v>
      </c>
      <c r="H40" s="4">
        <f t="shared" si="2"/>
        <v>40200</v>
      </c>
      <c r="I40" s="5">
        <f t="shared" si="3"/>
        <v>13400</v>
      </c>
    </row>
    <row r="41" spans="1:9" x14ac:dyDescent="0.3">
      <c r="A41" s="2">
        <v>44441</v>
      </c>
      <c r="B41" t="s">
        <v>8</v>
      </c>
      <c r="C41" t="s">
        <v>18</v>
      </c>
      <c r="D41" t="s">
        <v>21</v>
      </c>
      <c r="E41" s="3">
        <v>127</v>
      </c>
      <c r="F41" s="4">
        <f t="shared" si="0"/>
        <v>4000</v>
      </c>
      <c r="G41" s="4">
        <f t="shared" si="1"/>
        <v>3000</v>
      </c>
      <c r="H41" s="4">
        <f t="shared" si="2"/>
        <v>508000</v>
      </c>
      <c r="I41" s="5">
        <f t="shared" si="3"/>
        <v>127000</v>
      </c>
    </row>
    <row r="42" spans="1:9" x14ac:dyDescent="0.3">
      <c r="A42" s="2">
        <v>44299</v>
      </c>
      <c r="B42" t="s">
        <v>22</v>
      </c>
      <c r="C42" t="s">
        <v>9</v>
      </c>
      <c r="D42" t="s">
        <v>19</v>
      </c>
      <c r="E42" s="3">
        <v>108</v>
      </c>
      <c r="F42" s="4">
        <f t="shared" si="0"/>
        <v>1000</v>
      </c>
      <c r="G42" s="4">
        <f t="shared" si="1"/>
        <v>700</v>
      </c>
      <c r="H42" s="4">
        <f t="shared" si="2"/>
        <v>108000</v>
      </c>
      <c r="I42" s="5">
        <f t="shared" si="3"/>
        <v>32400</v>
      </c>
    </row>
    <row r="43" spans="1:9" x14ac:dyDescent="0.3">
      <c r="A43" s="2">
        <v>44322</v>
      </c>
      <c r="B43" t="s">
        <v>14</v>
      </c>
      <c r="C43" t="s">
        <v>12</v>
      </c>
      <c r="D43" t="s">
        <v>13</v>
      </c>
      <c r="E43" s="3">
        <v>66</v>
      </c>
      <c r="F43" s="4">
        <f t="shared" si="0"/>
        <v>3500</v>
      </c>
      <c r="G43" s="4">
        <f t="shared" si="1"/>
        <v>2500</v>
      </c>
      <c r="H43" s="4">
        <f t="shared" si="2"/>
        <v>231000</v>
      </c>
      <c r="I43" s="5">
        <f t="shared" si="3"/>
        <v>66000</v>
      </c>
    </row>
    <row r="44" spans="1:9" x14ac:dyDescent="0.3">
      <c r="A44" s="2">
        <v>44211</v>
      </c>
      <c r="B44" t="s">
        <v>8</v>
      </c>
      <c r="C44" t="s">
        <v>18</v>
      </c>
      <c r="D44" t="s">
        <v>10</v>
      </c>
      <c r="E44" s="3">
        <v>78</v>
      </c>
      <c r="F44" s="4">
        <f t="shared" si="0"/>
        <v>6000</v>
      </c>
      <c r="G44" s="4">
        <f t="shared" si="1"/>
        <v>4000</v>
      </c>
      <c r="H44" s="4">
        <f t="shared" si="2"/>
        <v>468000</v>
      </c>
      <c r="I44" s="5">
        <f t="shared" si="3"/>
        <v>156000</v>
      </c>
    </row>
    <row r="45" spans="1:9" x14ac:dyDescent="0.3">
      <c r="A45" s="2">
        <v>44070</v>
      </c>
      <c r="B45" t="s">
        <v>24</v>
      </c>
      <c r="C45" t="s">
        <v>15</v>
      </c>
      <c r="D45" t="s">
        <v>19</v>
      </c>
      <c r="E45" s="3">
        <v>69</v>
      </c>
      <c r="F45" s="4">
        <f t="shared" si="0"/>
        <v>1000</v>
      </c>
      <c r="G45" s="4">
        <f t="shared" si="1"/>
        <v>700</v>
      </c>
      <c r="H45" s="4">
        <f t="shared" si="2"/>
        <v>69000</v>
      </c>
      <c r="I45" s="5">
        <f t="shared" si="3"/>
        <v>20700</v>
      </c>
    </row>
    <row r="46" spans="1:9" x14ac:dyDescent="0.3">
      <c r="A46" s="2">
        <v>44232</v>
      </c>
      <c r="B46" t="s">
        <v>20</v>
      </c>
      <c r="C46" t="s">
        <v>9</v>
      </c>
      <c r="D46" t="s">
        <v>16</v>
      </c>
      <c r="E46" s="3">
        <v>59</v>
      </c>
      <c r="F46" s="4">
        <f t="shared" si="0"/>
        <v>1200</v>
      </c>
      <c r="G46" s="4">
        <f t="shared" si="1"/>
        <v>800</v>
      </c>
      <c r="H46" s="4">
        <f t="shared" si="2"/>
        <v>70800</v>
      </c>
      <c r="I46" s="5">
        <f t="shared" si="3"/>
        <v>23600</v>
      </c>
    </row>
    <row r="47" spans="1:9" x14ac:dyDescent="0.3">
      <c r="A47" s="2">
        <v>44517</v>
      </c>
      <c r="B47" t="s">
        <v>27</v>
      </c>
      <c r="C47" t="s">
        <v>15</v>
      </c>
      <c r="D47" t="s">
        <v>26</v>
      </c>
      <c r="E47" s="3">
        <v>109</v>
      </c>
      <c r="F47" s="4">
        <f t="shared" si="0"/>
        <v>600</v>
      </c>
      <c r="G47" s="4">
        <f t="shared" si="1"/>
        <v>400</v>
      </c>
      <c r="H47" s="4">
        <f t="shared" si="2"/>
        <v>65400</v>
      </c>
      <c r="I47" s="5">
        <f t="shared" si="3"/>
        <v>21800</v>
      </c>
    </row>
    <row r="48" spans="1:9" x14ac:dyDescent="0.3">
      <c r="A48" s="2">
        <v>44193</v>
      </c>
      <c r="B48" t="s">
        <v>25</v>
      </c>
      <c r="C48" t="s">
        <v>12</v>
      </c>
      <c r="D48" t="s">
        <v>21</v>
      </c>
      <c r="E48" s="3">
        <v>61</v>
      </c>
      <c r="F48" s="4">
        <f t="shared" si="0"/>
        <v>4000</v>
      </c>
      <c r="G48" s="4">
        <f t="shared" si="1"/>
        <v>3000</v>
      </c>
      <c r="H48" s="4">
        <f t="shared" si="2"/>
        <v>244000</v>
      </c>
      <c r="I48" s="5">
        <f t="shared" si="3"/>
        <v>61000</v>
      </c>
    </row>
    <row r="49" spans="1:9" x14ac:dyDescent="0.3">
      <c r="A49" s="2">
        <v>44496</v>
      </c>
      <c r="B49" t="s">
        <v>20</v>
      </c>
      <c r="C49" t="s">
        <v>18</v>
      </c>
      <c r="D49" t="s">
        <v>26</v>
      </c>
      <c r="E49" s="3">
        <v>130</v>
      </c>
      <c r="F49" s="4">
        <f t="shared" si="0"/>
        <v>600</v>
      </c>
      <c r="G49" s="4">
        <f t="shared" si="1"/>
        <v>400</v>
      </c>
      <c r="H49" s="4">
        <f t="shared" si="2"/>
        <v>78000</v>
      </c>
      <c r="I49" s="5">
        <f t="shared" si="3"/>
        <v>26000</v>
      </c>
    </row>
    <row r="50" spans="1:9" x14ac:dyDescent="0.3">
      <c r="A50" s="2">
        <v>44502</v>
      </c>
      <c r="B50" t="s">
        <v>17</v>
      </c>
      <c r="C50" t="s">
        <v>15</v>
      </c>
      <c r="D50" t="s">
        <v>13</v>
      </c>
      <c r="E50" s="3">
        <v>60</v>
      </c>
      <c r="F50" s="4">
        <f t="shared" si="0"/>
        <v>3500</v>
      </c>
      <c r="G50" s="4">
        <f t="shared" si="1"/>
        <v>2500</v>
      </c>
      <c r="H50" s="4">
        <f t="shared" si="2"/>
        <v>210000</v>
      </c>
      <c r="I50" s="5">
        <f t="shared" si="3"/>
        <v>60000</v>
      </c>
    </row>
    <row r="51" spans="1:9" x14ac:dyDescent="0.3">
      <c r="A51" s="2">
        <v>43958</v>
      </c>
      <c r="B51" t="s">
        <v>11</v>
      </c>
      <c r="C51" t="s">
        <v>12</v>
      </c>
      <c r="D51" t="s">
        <v>10</v>
      </c>
      <c r="E51" s="3">
        <v>73</v>
      </c>
      <c r="F51" s="4">
        <f t="shared" si="0"/>
        <v>6000</v>
      </c>
      <c r="G51" s="4">
        <f t="shared" si="1"/>
        <v>4000</v>
      </c>
      <c r="H51" s="4">
        <f t="shared" si="2"/>
        <v>438000</v>
      </c>
      <c r="I51" s="5">
        <f t="shared" si="3"/>
        <v>146000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Williams;Sahana</dc:creator>
  <cp:lastModifiedBy>Sahana Rajaram</cp:lastModifiedBy>
  <dcterms:created xsi:type="dcterms:W3CDTF">2024-05-30T14:35:02Z</dcterms:created>
  <dcterms:modified xsi:type="dcterms:W3CDTF">2026-06-07T18:30:42Z</dcterms:modified>
</cp:coreProperties>
</file>